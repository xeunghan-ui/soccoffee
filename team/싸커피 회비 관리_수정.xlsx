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입출금 전체" sheetId="1" state="visible" r:id="rId1"/>
    <sheet xmlns:r="http://schemas.openxmlformats.org/officeDocument/2006/relationships" name="회비 납부" sheetId="2" state="visible" r:id="rId2"/>
    <sheet xmlns:r="http://schemas.openxmlformats.org/officeDocument/2006/relationships" name="월별 지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. M. d"/>
    <numFmt numFmtId="165" formatCode="m월 d일"/>
    <numFmt numFmtId="166" formatCode="[$₩-412]#,##0"/>
    <numFmt numFmtId="167" formatCode="yyyy년 m월"/>
    <numFmt numFmtId="168" formatCode="m/d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</font>
    <font>
      <name val="Arial"/>
      <color rgb="FFFF0000"/>
      <scheme val="minor"/>
    </font>
    <font>
      <name val="Arial"/>
      <color rgb="FFFFFFFF"/>
      <scheme val="minor"/>
    </font>
    <font>
      <name val="Arial"/>
      <strike val="1"/>
      <color theme="1"/>
    </font>
    <font>
      <name val="Arial"/>
      <color rgb="FF000000"/>
      <scheme val="minor"/>
    </font>
    <font>
      <name val="Arial"/>
      <b val="1"/>
      <color theme="1"/>
    </font>
    <font>
      <name val="Arial"/>
      <strike val="1"/>
      <color theme="1"/>
      <scheme val="minor"/>
    </font>
    <font>
      <name val="Arial"/>
      <b val="1"/>
      <color theme="1"/>
      <sz val="12"/>
      <scheme val="minor"/>
    </font>
    <font/>
    <font>
      <name val="Arial"/>
      <color rgb="FFFFFFFF"/>
    </font>
  </fonts>
  <fills count="12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9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55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0" fontId="1" fillId="0" borderId="0" pivotButton="0" quotePrefix="0" xfId="0"/>
    <xf numFmtId="164" fontId="2" fillId="0" borderId="0" applyAlignment="1" pivotButton="0" quotePrefix="0" xfId="0">
      <alignment horizontal="left"/>
    </xf>
    <xf numFmtId="0" fontId="2" fillId="0" borderId="0" pivotButton="0" quotePrefix="0" xfId="0"/>
    <xf numFmtId="3" fontId="2" fillId="0" borderId="0" pivotButton="0" quotePrefix="0" xfId="0"/>
    <xf numFmtId="164" fontId="2" fillId="2" borderId="0" applyAlignment="1" pivotButton="0" quotePrefix="0" xfId="0">
      <alignment horizontal="left"/>
    </xf>
    <xf numFmtId="0" fontId="2" fillId="2" borderId="0" pivotButton="0" quotePrefix="0" xfId="0"/>
    <xf numFmtId="3" fontId="2" fillId="2" borderId="0" pivotButton="0" quotePrefix="0" xfId="0"/>
    <xf numFmtId="0" fontId="3" fillId="2" borderId="0" applyAlignment="1" pivotButton="0" quotePrefix="0" xfId="0">
      <alignment vertical="bottom"/>
    </xf>
    <xf numFmtId="165" fontId="2" fillId="0" borderId="0" pivotButton="0" quotePrefix="0" xfId="0"/>
    <xf numFmtId="3" fontId="4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2" fillId="3" borderId="0" applyAlignment="1" pivotButton="0" quotePrefix="0" xfId="0">
      <alignment horizontal="left"/>
    </xf>
    <xf numFmtId="0" fontId="2" fillId="3" borderId="0" pivotButton="0" quotePrefix="0" xfId="0"/>
    <xf numFmtId="3" fontId="2" fillId="3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5" fillId="4" borderId="0" applyAlignment="1" pivotButton="0" quotePrefix="0" xfId="0">
      <alignment horizontal="left"/>
    </xf>
    <xf numFmtId="0" fontId="5" fillId="4" borderId="0" pivotButton="0" quotePrefix="0" xfId="0"/>
    <xf numFmtId="3" fontId="5" fillId="4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bottom"/>
    </xf>
    <xf numFmtId="3" fontId="2" fillId="0" borderId="0" pivotButton="0" quotePrefix="0" xfId="0"/>
    <xf numFmtId="3" fontId="4" fillId="0" borderId="0" pivotButton="0" quotePrefix="0" xfId="0"/>
    <xf numFmtId="3" fontId="2" fillId="2" borderId="0" pivotButton="0" quotePrefix="0" xfId="0"/>
    <xf numFmtId="164" fontId="2" fillId="0" borderId="0" applyAlignment="1" pivotButton="0" quotePrefix="0" xfId="0">
      <alignment horizontal="left"/>
    </xf>
    <xf numFmtId="3" fontId="7" fillId="2" borderId="0" pivotButton="0" quotePrefix="0" xfId="0"/>
    <xf numFmtId="3" fontId="7" fillId="0" borderId="0" pivotButton="0" quotePrefix="0" xfId="0"/>
    <xf numFmtId="3" fontId="2" fillId="3" borderId="0" pivotButton="0" quotePrefix="0" xfId="0"/>
    <xf numFmtId="3" fontId="7" fillId="3" borderId="0" pivotButton="0" quotePrefix="0" xfId="0"/>
    <xf numFmtId="0" fontId="3" fillId="0" borderId="0" applyAlignment="1" pivotButton="0" quotePrefix="0" xfId="0">
      <alignment vertical="bottom"/>
    </xf>
    <xf numFmtId="3" fontId="3" fillId="0" borderId="0" applyAlignment="1" pivotButton="0" quotePrefix="0" xfId="0">
      <alignment horizontal="right" vertical="bottom"/>
    </xf>
    <xf numFmtId="3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3" fontId="3" fillId="3" borderId="0" applyAlignment="1" pivotButton="0" quotePrefix="0" xfId="0">
      <alignment horizontal="right" vertical="bottom"/>
    </xf>
    <xf numFmtId="3" fontId="3" fillId="3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/>
    </xf>
    <xf numFmtId="0" fontId="8" fillId="5" borderId="0" applyAlignment="1" pivotButton="0" quotePrefix="0" xfId="0">
      <alignment horizontal="center" vertical="bottom"/>
    </xf>
    <xf numFmtId="0" fontId="3" fillId="5" borderId="0" applyAlignment="1" pivotButton="0" quotePrefix="0" xfId="0">
      <alignment horizontal="center" vertical="bottom"/>
    </xf>
    <xf numFmtId="0" fontId="3" fillId="5" borderId="0" applyAlignment="1" pivotButton="0" quotePrefix="0" xfId="0">
      <alignment horizontal="center" vertical="bottom"/>
    </xf>
    <xf numFmtId="0" fontId="2" fillId="5" borderId="0" applyAlignment="1" pivotButton="0" quotePrefix="0" xfId="0">
      <alignment horizontal="center"/>
    </xf>
    <xf numFmtId="0" fontId="2" fillId="5" borderId="0" pivotButton="0" quotePrefix="0" xfId="0"/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3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2" pivotButton="0" quotePrefix="0" xfId="0"/>
    <xf numFmtId="0" fontId="2" fillId="7" borderId="2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3" fontId="2" fillId="7" borderId="2" applyAlignment="1" pivotButton="0" quotePrefix="0" xfId="0">
      <alignment horizontal="center"/>
    </xf>
    <xf numFmtId="0" fontId="2" fillId="8" borderId="1" pivotButton="0" quotePrefix="0" xfId="0"/>
    <xf numFmtId="0" fontId="2" fillId="8" borderId="1" applyAlignment="1" pivotButton="0" quotePrefix="0" xfId="0">
      <alignment horizontal="center"/>
    </xf>
    <xf numFmtId="3" fontId="3" fillId="8" borderId="0" applyAlignment="1" pivotButton="0" quotePrefix="0" xfId="0">
      <alignment horizontal="center" vertical="bottom"/>
    </xf>
    <xf numFmtId="0" fontId="2" fillId="8" borderId="1" pivotButton="0" quotePrefix="0" xfId="0"/>
    <xf numFmtId="0" fontId="3" fillId="9" borderId="0" applyAlignment="1" pivotButton="0" quotePrefix="0" xfId="0">
      <alignment horizontal="right" vertical="bottom"/>
    </xf>
    <xf numFmtId="0" fontId="3" fillId="9" borderId="0" applyAlignment="1" pivotButton="0" quotePrefix="0" xfId="0">
      <alignment horizontal="center" vertical="bottom"/>
    </xf>
    <xf numFmtId="3" fontId="3" fillId="9" borderId="0" applyAlignment="1" pivotButton="0" quotePrefix="0" xfId="0">
      <alignment horizontal="center" vertical="bottom"/>
    </xf>
    <xf numFmtId="3" fontId="3" fillId="9" borderId="0" applyAlignment="1" pivotButton="0" quotePrefix="0" xfId="0">
      <alignment horizontal="center" vertical="bottom"/>
    </xf>
    <xf numFmtId="3" fontId="2" fillId="9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9" borderId="0" pivotButton="0" quotePrefix="0" xfId="0"/>
    <xf numFmtId="0" fontId="3" fillId="10" borderId="0" applyAlignment="1" pivotButton="0" quotePrefix="0" xfId="0">
      <alignment horizontal="center" vertical="bottom"/>
    </xf>
    <xf numFmtId="3" fontId="3" fillId="10" borderId="0" applyAlignment="1" pivotButton="0" quotePrefix="0" xfId="0">
      <alignment horizontal="center" vertical="bottom"/>
    </xf>
    <xf numFmtId="3" fontId="3" fillId="10" borderId="0" applyAlignment="1" pivotButton="0" quotePrefix="0" xfId="0">
      <alignment horizontal="center" vertical="bottom"/>
    </xf>
    <xf numFmtId="0" fontId="2" fillId="10" borderId="0" applyAlignment="1" pivotButton="0" quotePrefix="0" xfId="0">
      <alignment horizontal="center"/>
    </xf>
    <xf numFmtId="0" fontId="2" fillId="10" borderId="0" pivotButton="0" quotePrefix="0" xfId="0"/>
    <xf numFmtId="0" fontId="3" fillId="0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2" fillId="0" borderId="0" pivotButton="0" quotePrefix="0" xfId="0"/>
    <xf numFmtId="0" fontId="3" fillId="1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6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11" borderId="0" applyAlignment="1" pivotButton="0" quotePrefix="0" xfId="0">
      <alignment horizontal="right" vertical="bottom"/>
    </xf>
    <xf numFmtId="0" fontId="3" fillId="11" borderId="0" applyAlignment="1" pivotButton="0" quotePrefix="0" xfId="0">
      <alignment horizontal="center" vertical="bottom"/>
    </xf>
    <xf numFmtId="3" fontId="3" fillId="11" borderId="0" applyAlignment="1" pivotButton="0" quotePrefix="0" xfId="0">
      <alignment horizontal="center" vertical="bottom"/>
    </xf>
    <xf numFmtId="3" fontId="3" fillId="11" borderId="0" applyAlignment="1" pivotButton="0" quotePrefix="0" xfId="0">
      <alignment horizontal="center" vertical="bottom"/>
    </xf>
    <xf numFmtId="0" fontId="3" fillId="11" borderId="0" applyAlignment="1" pivotButton="0" quotePrefix="0" xfId="0">
      <alignment vertical="bottom"/>
    </xf>
    <xf numFmtId="0" fontId="2" fillId="11" borderId="0" pivotButton="0" quotePrefix="0" xfId="0"/>
    <xf numFmtId="0" fontId="3" fillId="10" borderId="0" applyAlignment="1" pivotButton="0" quotePrefix="0" xfId="0">
      <alignment horizontal="right" vertical="bottom"/>
    </xf>
    <xf numFmtId="0" fontId="3" fillId="10" borderId="0" applyAlignment="1" pivotButton="0" quotePrefix="0" xfId="0">
      <alignment horizontal="center" vertical="bottom"/>
    </xf>
    <xf numFmtId="3" fontId="3" fillId="10" borderId="0" applyAlignment="1" pivotButton="0" quotePrefix="0" xfId="0">
      <alignment horizontal="center" vertical="bottom"/>
    </xf>
    <xf numFmtId="3" fontId="3" fillId="10" borderId="0" applyAlignment="1" pivotButton="0" quotePrefix="0" xfId="0">
      <alignment horizontal="center" vertical="bottom"/>
    </xf>
    <xf numFmtId="0" fontId="3" fillId="10" borderId="0" applyAlignment="1" pivotButton="0" quotePrefix="0" xfId="0">
      <alignment horizontal="center" vertical="bottom"/>
    </xf>
    <xf numFmtId="0" fontId="3" fillId="10" borderId="0" applyAlignment="1" pivotButton="0" quotePrefix="0" xfId="0">
      <alignment vertical="bottom"/>
    </xf>
    <xf numFmtId="0" fontId="2" fillId="10" borderId="0" pivotButton="0" quotePrefix="0" xfId="0"/>
    <xf numFmtId="0" fontId="3" fillId="8" borderId="0" applyAlignment="1" pivotButton="0" quotePrefix="0" xfId="0">
      <alignment horizontal="right" vertical="bottom"/>
    </xf>
    <xf numFmtId="0" fontId="3" fillId="8" borderId="0" applyAlignment="1" pivotButton="0" quotePrefix="0" xfId="0">
      <alignment horizontal="center" vertical="bottom"/>
    </xf>
    <xf numFmtId="3" fontId="3" fillId="8" borderId="0" applyAlignment="1" pivotButton="0" quotePrefix="0" xfId="0">
      <alignment horizontal="center" vertical="bottom"/>
    </xf>
    <xf numFmtId="0" fontId="6" fillId="8" borderId="0" applyAlignment="1" pivotButton="0" quotePrefix="0" xfId="0">
      <alignment vertical="bottom"/>
    </xf>
    <xf numFmtId="0" fontId="9" fillId="8" borderId="0" pivotButton="0" quotePrefix="0" xfId="0"/>
    <xf numFmtId="0" fontId="3" fillId="9" borderId="0" applyAlignment="1" pivotButton="0" quotePrefix="0" xfId="0">
      <alignment horizontal="center" vertical="bottom"/>
    </xf>
    <xf numFmtId="0" fontId="6" fillId="9" borderId="0" applyAlignment="1" pivotButton="0" quotePrefix="0" xfId="0">
      <alignment vertical="bottom"/>
    </xf>
    <xf numFmtId="0" fontId="9" fillId="9" borderId="0" pivotButton="0" quotePrefix="0" xfId="0"/>
    <xf numFmtId="0" fontId="3" fillId="8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bottom"/>
    </xf>
    <xf numFmtId="3" fontId="6" fillId="0" borderId="0" applyAlignment="1" pivotButton="0" quotePrefix="0" xfId="0">
      <alignment vertical="bottom"/>
    </xf>
    <xf numFmtId="3" fontId="6" fillId="0" borderId="0" applyAlignment="1" pivotButton="0" quotePrefix="0" xfId="0">
      <alignment horizontal="center" vertical="bottom"/>
    </xf>
    <xf numFmtId="3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3" fillId="8" borderId="0" applyAlignment="1" pivotButton="0" quotePrefix="0" xfId="0">
      <alignment horizontal="right" vertical="bottom"/>
    </xf>
    <xf numFmtId="0" fontId="2" fillId="8" borderId="0" pivotButton="0" quotePrefix="0" xfId="0"/>
    <xf numFmtId="0" fontId="2" fillId="8" borderId="0" applyAlignment="1" pivotButton="0" quotePrefix="0" xfId="0">
      <alignment horizontal="center"/>
    </xf>
    <xf numFmtId="0" fontId="3" fillId="11" borderId="0" applyAlignment="1" pivotButton="0" quotePrefix="0" xfId="0">
      <alignment horizontal="right" vertical="bottom"/>
    </xf>
    <xf numFmtId="0" fontId="6" fillId="11" borderId="0" applyAlignment="1" pivotButton="0" quotePrefix="0" xfId="0">
      <alignment vertical="bottom"/>
    </xf>
    <xf numFmtId="0" fontId="9" fillId="11" borderId="0" pivotButton="0" quotePrefix="0" xfId="0"/>
    <xf numFmtId="0" fontId="3" fillId="8" borderId="0" applyAlignment="1" pivotButton="0" quotePrefix="0" xfId="0">
      <alignment horizontal="center" vertical="bottom"/>
    </xf>
    <xf numFmtId="3" fontId="2" fillId="8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10" fillId="0" borderId="0" applyAlignment="1" pivotButton="0" quotePrefix="0" xfId="0">
      <alignment horizontal="right"/>
    </xf>
    <xf numFmtId="167" fontId="1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167" fontId="2" fillId="0" borderId="3" applyAlignment="1" pivotButton="0" quotePrefix="0" xfId="0">
      <alignment horizontal="center"/>
    </xf>
    <xf numFmtId="166" fontId="2" fillId="0" borderId="1" applyAlignment="1" pivotButton="0" quotePrefix="0" xfId="0">
      <alignment horizontal="right"/>
    </xf>
    <xf numFmtId="0" fontId="11" fillId="0" borderId="4" pivotButton="0" quotePrefix="0" xfId="0"/>
    <xf numFmtId="166" fontId="1" fillId="0" borderId="1" applyAlignment="1" pivotButton="0" quotePrefix="0" xfId="0">
      <alignment horizontal="right"/>
    </xf>
    <xf numFmtId="167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pivotButton="0" quotePrefix="0" xfId="0"/>
    <xf numFmtId="168" fontId="3" fillId="2" borderId="0" applyAlignment="1" pivotButton="0" quotePrefix="0" xfId="0">
      <alignment vertical="bottom"/>
    </xf>
    <xf numFmtId="3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2" fillId="0" borderId="5" pivotButton="0" quotePrefix="0" xfId="0"/>
    <xf numFmtId="0" fontId="2" fillId="0" borderId="6" pivotButton="0" quotePrefix="0" xfId="0"/>
    <xf numFmtId="0" fontId="3" fillId="2" borderId="0" applyAlignment="1" pivotButton="0" quotePrefix="0" xfId="0">
      <alignment vertical="bottom"/>
    </xf>
    <xf numFmtId="167" fontId="2" fillId="0" borderId="1" applyAlignment="1" pivotButton="0" quotePrefix="0" xfId="0">
      <alignment horizontal="center"/>
    </xf>
    <xf numFmtId="167" fontId="12" fillId="4" borderId="0" applyAlignment="1" pivotButton="0" quotePrefix="0" xfId="0">
      <alignment vertical="bottom"/>
    </xf>
    <xf numFmtId="3" fontId="12" fillId="4" borderId="0" applyAlignment="1" pivotButton="0" quotePrefix="0" xfId="0">
      <alignment horizontal="right" vertical="bottom"/>
    </xf>
    <xf numFmtId="166" fontId="12" fillId="4" borderId="0" applyAlignment="1" pivotButton="0" quotePrefix="0" xfId="0">
      <alignment vertical="bottom"/>
    </xf>
    <xf numFmtId="167" fontId="2" fillId="0" borderId="0" applyAlignment="1" pivotButton="0" quotePrefix="0" xfId="0">
      <alignment horizontal="center"/>
    </xf>
    <xf numFmtId="165" fontId="3" fillId="2" borderId="0" applyAlignment="1" pivotButton="0" quotePrefix="0" xfId="0">
      <alignment vertical="bottom"/>
    </xf>
    <xf numFmtId="0" fontId="12" fillId="4" borderId="0" applyAlignment="1" pivotButton="0" quotePrefix="0" xfId="0">
      <alignment vertical="bottom"/>
    </xf>
    <xf numFmtId="0" fontId="2" fillId="0" borderId="7" pivotButton="0" quotePrefix="0" xfId="0"/>
    <xf numFmtId="0" fontId="2" fillId="0" borderId="2" pivotButton="0" quotePrefix="0" xfId="0"/>
    <xf numFmtId="0" fontId="2" fillId="0" borderId="8" pivotButton="0" quotePrefix="0" xfId="0"/>
    <xf numFmtId="0" fontId="0" fillId="0" borderId="0" pivotButton="0" quotePrefix="0" xfId="0"/>
    <xf numFmtId="166" fontId="2" fillId="0" borderId="4" applyAlignment="1" pivotButton="0" quotePrefix="0" xfId="0">
      <alignment horizontal="right"/>
    </xf>
    <xf numFmtId="0" fontId="0" fillId="0" borderId="4" pivotButton="0" quotePrefix="0" xfId="0"/>
    <xf numFmtId="166" fontId="1" fillId="0" borderId="4" applyAlignment="1" pivotButton="0" quotePrefix="0" xfId="0">
      <alignment horizontal="right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회비 납부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6</col>
      <colOff>47625</colOff>
      <row>0</row>
      <rowOff>38100</rowOff>
    </from>
    <ext cx="2076450" cy="1876425"/>
    <pic>
      <nvPicPr>
        <cNvPr id="0" name="image2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1057275</colOff>
      <row>9</row>
      <rowOff>95250</rowOff>
    </from>
    <ext cx="2066925" cy="914400"/>
    <pic>
      <nvPicPr>
        <cNvPr id="0" name="image1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A5:Z56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회비 납부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38" customWidth="1" style="151" min="6" max="6"/>
    <col width="12.38" customWidth="1" style="151" min="7" max="7"/>
    <col width="13.13" customWidth="1" style="151" min="8" max="8"/>
  </cols>
  <sheetData>
    <row r="1">
      <c r="A1" s="1" t="inlineStr">
        <is>
          <t>거래일시</t>
        </is>
      </c>
      <c r="B1" s="124" t="inlineStr">
        <is>
          <t>구분</t>
        </is>
      </c>
      <c r="C1" s="3" t="inlineStr">
        <is>
          <t>거래금액</t>
        </is>
      </c>
      <c r="D1" s="3" t="inlineStr">
        <is>
          <t>거래 후 잔액</t>
        </is>
      </c>
      <c r="E1" s="124" t="inlineStr">
        <is>
          <t>거래구분</t>
        </is>
      </c>
      <c r="F1" s="124" t="inlineStr">
        <is>
          <t>내용</t>
        </is>
      </c>
      <c r="G1" s="124" t="inlineStr">
        <is>
          <t>목적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>
      <c r="A2" s="29" t="inlineStr">
        <is>
          <t>2024.10.25 16:04:02</t>
        </is>
      </c>
      <c r="B2" s="76" t="inlineStr">
        <is>
          <t>입금</t>
        </is>
      </c>
      <c r="C2" s="26" t="n">
        <v>30000</v>
      </c>
      <c r="D2" s="26" t="n">
        <v>30000</v>
      </c>
      <c r="E2" s="76" t="inlineStr">
        <is>
          <t>일반입금</t>
        </is>
      </c>
      <c r="F2" s="76" t="inlineStr">
        <is>
          <t>박우성</t>
        </is>
      </c>
      <c r="G2" s="76" t="inlineStr">
        <is>
          <t>11월 회비</t>
        </is>
      </c>
    </row>
    <row r="3">
      <c r="A3" s="29" t="inlineStr">
        <is>
          <t>2024.10.25 16:05:00</t>
        </is>
      </c>
      <c r="B3" s="76" t="inlineStr">
        <is>
          <t>입금</t>
        </is>
      </c>
      <c r="C3" s="26" t="n">
        <v>10000</v>
      </c>
      <c r="D3" s="26" t="n">
        <v>40000</v>
      </c>
      <c r="E3" s="76" t="inlineStr">
        <is>
          <t>일반입금</t>
        </is>
      </c>
      <c r="F3" s="76" t="inlineStr">
        <is>
          <t>승한11</t>
        </is>
      </c>
      <c r="G3" s="76" t="inlineStr">
        <is>
          <t>11월 회비</t>
        </is>
      </c>
    </row>
    <row r="4">
      <c r="A4" s="29" t="inlineStr">
        <is>
          <t>2024.10.25 16:12:57</t>
        </is>
      </c>
      <c r="B4" s="76" t="inlineStr">
        <is>
          <t>입금</t>
        </is>
      </c>
      <c r="C4" s="26" t="n">
        <v>30000</v>
      </c>
      <c r="D4" s="26" t="n">
        <v>70000</v>
      </c>
      <c r="E4" s="76" t="inlineStr">
        <is>
          <t>일반입금</t>
        </is>
      </c>
      <c r="F4" s="76" t="inlineStr">
        <is>
          <t>임한</t>
        </is>
      </c>
      <c r="G4" s="76" t="inlineStr">
        <is>
          <t>11월 회비</t>
        </is>
      </c>
    </row>
    <row r="5">
      <c r="A5" s="29" t="inlineStr">
        <is>
          <t>2024.10.25 16:18:02</t>
        </is>
      </c>
      <c r="B5" s="76" t="inlineStr">
        <is>
          <t>입금</t>
        </is>
      </c>
      <c r="C5" s="26" t="n">
        <v>30000</v>
      </c>
      <c r="D5" s="26" t="n">
        <v>100000</v>
      </c>
      <c r="E5" s="76" t="inlineStr">
        <is>
          <t>일반입금</t>
        </is>
      </c>
      <c r="F5" s="76" t="inlineStr">
        <is>
          <t>김균원</t>
        </is>
      </c>
      <c r="G5" s="76" t="inlineStr">
        <is>
          <t>11월 회비</t>
        </is>
      </c>
    </row>
    <row r="6">
      <c r="A6" s="29" t="inlineStr">
        <is>
          <t>2024.10.25 16:31:44</t>
        </is>
      </c>
      <c r="B6" s="76" t="inlineStr">
        <is>
          <t>입금</t>
        </is>
      </c>
      <c r="C6" s="26" t="n">
        <v>30000</v>
      </c>
      <c r="D6" s="26" t="n">
        <v>130000</v>
      </c>
      <c r="E6" s="76" t="inlineStr">
        <is>
          <t>일반입금</t>
        </is>
      </c>
      <c r="F6" s="76" t="inlineStr">
        <is>
          <t>일웅11월</t>
        </is>
      </c>
      <c r="G6" s="76" t="inlineStr">
        <is>
          <t>11월 회비</t>
        </is>
      </c>
    </row>
    <row r="7">
      <c r="A7" s="29" t="inlineStr">
        <is>
          <t>2024.10.25 17:36:25</t>
        </is>
      </c>
      <c r="B7" s="76" t="inlineStr">
        <is>
          <t>입금</t>
        </is>
      </c>
      <c r="C7" s="26" t="n">
        <v>60000</v>
      </c>
      <c r="D7" s="26" t="n">
        <v>190000</v>
      </c>
      <c r="E7" s="76" t="inlineStr">
        <is>
          <t>일반입금</t>
        </is>
      </c>
      <c r="F7" s="76" t="inlineStr">
        <is>
          <t>민주동헌11월</t>
        </is>
      </c>
      <c r="G7" s="76" t="inlineStr">
        <is>
          <t>11월 회비</t>
        </is>
      </c>
    </row>
    <row r="8">
      <c r="A8" s="29" t="inlineStr">
        <is>
          <t>2024.10.25 17:40:03</t>
        </is>
      </c>
      <c r="B8" s="76" t="inlineStr">
        <is>
          <t>입금</t>
        </is>
      </c>
      <c r="C8" s="26" t="n">
        <v>40000</v>
      </c>
      <c r="D8" s="26" t="n">
        <v>230000</v>
      </c>
      <c r="E8" s="76" t="inlineStr">
        <is>
          <t>일반입금</t>
        </is>
      </c>
      <c r="F8" s="76" t="inlineStr">
        <is>
          <t>희범이연11</t>
        </is>
      </c>
      <c r="G8" s="76" t="inlineStr">
        <is>
          <t>11월 회비</t>
        </is>
      </c>
    </row>
    <row r="9">
      <c r="A9" s="29" t="inlineStr">
        <is>
          <t>2024.10.25 17:53:26</t>
        </is>
      </c>
      <c r="B9" s="76" t="inlineStr">
        <is>
          <t>입금</t>
        </is>
      </c>
      <c r="C9" s="26" t="n">
        <v>10000</v>
      </c>
      <c r="D9" s="26" t="n">
        <v>240000</v>
      </c>
      <c r="E9" s="76" t="inlineStr">
        <is>
          <t>일반입금</t>
        </is>
      </c>
      <c r="F9" s="76" t="inlineStr">
        <is>
          <t>승호/11월</t>
        </is>
      </c>
      <c r="G9" s="76" t="inlineStr">
        <is>
          <t>11월 회비</t>
        </is>
      </c>
    </row>
    <row r="10">
      <c r="A10" s="29" t="inlineStr">
        <is>
          <t>2024.10.25 19:38:32</t>
        </is>
      </c>
      <c r="B10" s="76" t="inlineStr">
        <is>
          <t>입금</t>
        </is>
      </c>
      <c r="C10" s="26" t="n">
        <v>30000</v>
      </c>
      <c r="D10" s="26" t="n">
        <v>270000</v>
      </c>
      <c r="E10" s="76" t="inlineStr">
        <is>
          <t>일반입금</t>
        </is>
      </c>
      <c r="F10" s="76" t="inlineStr">
        <is>
          <t>마상현회비11월</t>
        </is>
      </c>
      <c r="G10" s="76" t="inlineStr">
        <is>
          <t>11월 회비</t>
        </is>
      </c>
    </row>
    <row r="11">
      <c r="A11" s="29" t="inlineStr">
        <is>
          <t>2024.10.26 00:24:50</t>
        </is>
      </c>
      <c r="B11" s="76" t="inlineStr">
        <is>
          <t>입금</t>
        </is>
      </c>
      <c r="C11" s="26" t="n">
        <v>30000</v>
      </c>
      <c r="D11" s="26" t="n">
        <v>300000</v>
      </c>
      <c r="E11" s="76" t="inlineStr">
        <is>
          <t>일반입금</t>
        </is>
      </c>
      <c r="F11" s="76" t="inlineStr">
        <is>
          <t>주하9월</t>
        </is>
      </c>
      <c r="G11" s="76" t="inlineStr">
        <is>
          <t>11월 회비</t>
        </is>
      </c>
    </row>
    <row r="12">
      <c r="A12" s="29" t="inlineStr">
        <is>
          <t>2024.10.26 04:48:58</t>
        </is>
      </c>
      <c r="B12" s="76" t="inlineStr">
        <is>
          <t>입금</t>
        </is>
      </c>
      <c r="C12" s="26" t="n">
        <v>0</v>
      </c>
      <c r="D12" s="26" t="n">
        <v>300000</v>
      </c>
      <c r="E12" s="76" t="inlineStr">
        <is>
          <t>예금이자</t>
        </is>
      </c>
      <c r="F12" s="76" t="inlineStr">
        <is>
          <t>입출금통장 이자</t>
        </is>
      </c>
      <c r="G12" s="76" t="inlineStr">
        <is>
          <t>기타</t>
        </is>
      </c>
    </row>
    <row r="13">
      <c r="A13" s="29" t="inlineStr">
        <is>
          <t>2024.10.28 10:56:44</t>
        </is>
      </c>
      <c r="B13" s="76" t="inlineStr">
        <is>
          <t>입금</t>
        </is>
      </c>
      <c r="C13" s="26" t="n">
        <v>30000</v>
      </c>
      <c r="D13" s="26" t="n">
        <v>330000</v>
      </c>
      <c r="E13" s="76" t="inlineStr">
        <is>
          <t>일반입금</t>
        </is>
      </c>
      <c r="F13" s="76" t="inlineStr">
        <is>
          <t>심지수</t>
        </is>
      </c>
      <c r="G13" s="76" t="inlineStr">
        <is>
          <t>11월 회비</t>
        </is>
      </c>
    </row>
    <row r="14">
      <c r="A14" s="8" t="inlineStr">
        <is>
          <t>2024.10.28 16:48:16</t>
        </is>
      </c>
      <c r="B14" s="9" t="inlineStr">
        <is>
          <t>출금</t>
        </is>
      </c>
      <c r="C14" s="28" t="n">
        <v>-160000</v>
      </c>
      <c r="D14" s="28" t="n">
        <v>170000</v>
      </c>
      <c r="E14" s="9" t="inlineStr">
        <is>
          <t>체크카드결제</t>
        </is>
      </c>
      <c r="F14" s="9" t="inlineStr">
        <is>
          <t>주식회사 마이플레이</t>
        </is>
      </c>
      <c r="G14" s="140" t="inlineStr">
        <is>
          <t>구장 예약</t>
        </is>
      </c>
      <c r="H14" s="12" t="n">
        <v>45981</v>
      </c>
    </row>
    <row r="15">
      <c r="A15" s="8" t="inlineStr">
        <is>
          <t>2024.10.28 17:02:39</t>
        </is>
      </c>
      <c r="B15" s="9" t="inlineStr">
        <is>
          <t>출금</t>
        </is>
      </c>
      <c r="C15" s="28" t="n">
        <v>-160000</v>
      </c>
      <c r="D15" s="28" t="n">
        <v>10000</v>
      </c>
      <c r="E15" s="9" t="inlineStr">
        <is>
          <t>체크카드결제</t>
        </is>
      </c>
      <c r="F15" s="9" t="inlineStr">
        <is>
          <t>주식회사 마이플레이</t>
        </is>
      </c>
      <c r="G15" s="140" t="inlineStr">
        <is>
          <t xml:space="preserve"> 구장 예약</t>
        </is>
      </c>
      <c r="H15" s="12" t="n">
        <v>45974</v>
      </c>
    </row>
    <row r="16">
      <c r="A16" s="29" t="inlineStr">
        <is>
          <t>2024.10.28 17:06:46</t>
        </is>
      </c>
      <c r="B16" s="76" t="inlineStr">
        <is>
          <t>입금</t>
        </is>
      </c>
      <c r="C16" s="26" t="n">
        <v>30000</v>
      </c>
      <c r="D16" s="26" t="n">
        <v>40000</v>
      </c>
      <c r="E16" s="76" t="inlineStr">
        <is>
          <t>일반입금</t>
        </is>
      </c>
      <c r="F16" s="76" t="inlineStr">
        <is>
          <t>우경 11월</t>
        </is>
      </c>
      <c r="G16" s="76" t="inlineStr">
        <is>
          <t>11월 회비</t>
        </is>
      </c>
    </row>
    <row r="17">
      <c r="A17" s="29" t="inlineStr">
        <is>
          <t>2024.10.28 20:03:03</t>
        </is>
      </c>
      <c r="B17" s="76" t="inlineStr">
        <is>
          <t>입금</t>
        </is>
      </c>
      <c r="C17" s="26" t="n">
        <v>30000</v>
      </c>
      <c r="D17" s="26" t="n">
        <v>70000</v>
      </c>
      <c r="E17" s="76" t="inlineStr">
        <is>
          <t>일반입금</t>
        </is>
      </c>
      <c r="F17" s="76" t="inlineStr">
        <is>
          <t>강성민 11월 회비</t>
        </is>
      </c>
      <c r="G17" s="76" t="inlineStr">
        <is>
          <t>11월 회비</t>
        </is>
      </c>
    </row>
    <row r="18">
      <c r="A18" s="29" t="inlineStr">
        <is>
          <t>2024.10.29 14:02:11</t>
        </is>
      </c>
      <c r="B18" s="76" t="inlineStr">
        <is>
          <t>입금</t>
        </is>
      </c>
      <c r="C18" s="26" t="n">
        <v>40000</v>
      </c>
      <c r="D18" s="26" t="n">
        <v>110000</v>
      </c>
      <c r="E18" s="76" t="inlineStr">
        <is>
          <t>일반입금</t>
        </is>
      </c>
      <c r="F18" s="76" t="inlineStr">
        <is>
          <t>재식세영</t>
        </is>
      </c>
      <c r="G18" s="76" t="inlineStr">
        <is>
          <t>11월 회비</t>
        </is>
      </c>
    </row>
    <row r="19">
      <c r="A19" s="8" t="inlineStr">
        <is>
          <t>2024.10.29 18:49:25</t>
        </is>
      </c>
      <c r="B19" s="9" t="inlineStr">
        <is>
          <t>출금</t>
        </is>
      </c>
      <c r="C19" s="28" t="n">
        <v>-90000</v>
      </c>
      <c r="D19" s="13" t="n">
        <v>20000</v>
      </c>
      <c r="E19" s="9" t="inlineStr">
        <is>
          <t>일반이체</t>
        </is>
      </c>
      <c r="F19" s="9" t="inlineStr">
        <is>
          <t>11월 6일 구장</t>
        </is>
      </c>
      <c r="G19" s="9" t="inlineStr">
        <is>
          <t>11월 구장</t>
        </is>
      </c>
      <c r="H19" s="12" t="n">
        <v>45967</v>
      </c>
    </row>
    <row r="20">
      <c r="A20" s="29" t="n"/>
      <c r="B20" s="14" t="inlineStr">
        <is>
          <t>10월 입금</t>
        </is>
      </c>
      <c r="C20" s="27" t="n">
        <v>430000</v>
      </c>
      <c r="D20" s="26" t="n"/>
      <c r="E20" s="76" t="n"/>
      <c r="F20" s="76" t="n"/>
      <c r="G20" s="76" t="n"/>
    </row>
    <row r="21">
      <c r="A21" s="29" t="n"/>
      <c r="B21" s="14" t="inlineStr">
        <is>
          <t>10월 출금</t>
        </is>
      </c>
      <c r="C21" s="27" t="n">
        <v>-410000</v>
      </c>
      <c r="D21" s="26" t="n"/>
      <c r="E21" s="76" t="n"/>
      <c r="F21" s="76" t="n"/>
      <c r="G21" s="76" t="n"/>
    </row>
    <row r="22">
      <c r="A22" s="29" t="inlineStr">
        <is>
          <t>2024.11.01 12:32:41</t>
        </is>
      </c>
      <c r="B22" s="76" t="inlineStr">
        <is>
          <t>입금</t>
        </is>
      </c>
      <c r="C22" s="26" t="n">
        <v>10000</v>
      </c>
      <c r="D22" s="26" t="n">
        <v>30000</v>
      </c>
      <c r="E22" s="76" t="inlineStr">
        <is>
          <t>일반입금</t>
        </is>
      </c>
      <c r="F22" s="76" t="inlineStr">
        <is>
          <t>홍순인</t>
        </is>
      </c>
      <c r="G22" s="76" t="inlineStr">
        <is>
          <t>11월 회비</t>
        </is>
      </c>
    </row>
    <row r="23">
      <c r="A23" s="29" t="inlineStr">
        <is>
          <t>2024.11.01 17:27:20</t>
        </is>
      </c>
      <c r="B23" s="76" t="inlineStr">
        <is>
          <t>입금</t>
        </is>
      </c>
      <c r="C23" s="26" t="n">
        <v>30000</v>
      </c>
      <c r="D23" s="26" t="n">
        <v>60000</v>
      </c>
      <c r="E23" s="76" t="inlineStr">
        <is>
          <t>일반입금</t>
        </is>
      </c>
      <c r="F23" s="76" t="inlineStr">
        <is>
          <t>박지원</t>
        </is>
      </c>
      <c r="G23" s="76" t="inlineStr">
        <is>
          <t>11월 회비</t>
        </is>
      </c>
    </row>
    <row r="24">
      <c r="A24" s="29" t="inlineStr">
        <is>
          <t>2024.11.01 21:36:59</t>
        </is>
      </c>
      <c r="B24" s="76" t="inlineStr">
        <is>
          <t>입금</t>
        </is>
      </c>
      <c r="C24" s="26" t="n">
        <v>30000</v>
      </c>
      <c r="D24" s="26" t="n">
        <v>90000</v>
      </c>
      <c r="E24" s="76" t="inlineStr">
        <is>
          <t>일반입금</t>
        </is>
      </c>
      <c r="F24" s="76" t="inlineStr">
        <is>
          <t>이민국</t>
        </is>
      </c>
      <c r="G24" s="76" t="inlineStr">
        <is>
          <t>11월 회비</t>
        </is>
      </c>
    </row>
    <row r="25">
      <c r="A25" s="29" t="inlineStr">
        <is>
          <t>2024.11.02 19:25:50</t>
        </is>
      </c>
      <c r="B25" s="76" t="inlineStr">
        <is>
          <t>입금</t>
        </is>
      </c>
      <c r="C25" s="26" t="n">
        <v>60000</v>
      </c>
      <c r="D25" s="26" t="n">
        <v>150000</v>
      </c>
      <c r="E25" s="76" t="inlineStr">
        <is>
          <t>일반입금</t>
        </is>
      </c>
      <c r="F25" s="76" t="inlineStr">
        <is>
          <t>이규범</t>
        </is>
      </c>
      <c r="G25" s="76" t="inlineStr">
        <is>
          <t>11월 회비</t>
        </is>
      </c>
    </row>
    <row r="26">
      <c r="A26" s="29" t="inlineStr">
        <is>
          <t>2024.11.03 16:07:29</t>
        </is>
      </c>
      <c r="B26" s="76" t="inlineStr">
        <is>
          <t>입금</t>
        </is>
      </c>
      <c r="C26" s="26" t="n">
        <v>10000</v>
      </c>
      <c r="D26" s="26" t="n">
        <v>160000</v>
      </c>
      <c r="E26" s="76" t="inlineStr">
        <is>
          <t>일반입금</t>
        </is>
      </c>
      <c r="F26" s="76" t="inlineStr">
        <is>
          <t>박승한 12월</t>
        </is>
      </c>
      <c r="G26" s="76" t="inlineStr">
        <is>
          <t>11월 회비</t>
        </is>
      </c>
    </row>
    <row r="27">
      <c r="A27" s="16" t="inlineStr">
        <is>
          <t>2024.11.03 16:08:07</t>
        </is>
      </c>
      <c r="B27" s="17" t="inlineStr">
        <is>
          <t>출금</t>
        </is>
      </c>
      <c r="C27" s="32" t="n">
        <v>-160000</v>
      </c>
      <c r="D27" s="17" t="n">
        <v>0</v>
      </c>
      <c r="E27" s="17" t="inlineStr">
        <is>
          <t>체크카드결제</t>
        </is>
      </c>
      <c r="F27" s="17" t="inlineStr">
        <is>
          <t>주식회사 마이플레이</t>
        </is>
      </c>
      <c r="G27" s="17" t="inlineStr">
        <is>
          <t>11월 구장</t>
        </is>
      </c>
      <c r="H27" s="12" t="n">
        <v>45988</v>
      </c>
    </row>
    <row r="28">
      <c r="A28" s="29" t="inlineStr">
        <is>
          <t>2024.11.04 13:34:37</t>
        </is>
      </c>
      <c r="B28" s="76" t="inlineStr">
        <is>
          <t>입금</t>
        </is>
      </c>
      <c r="C28" s="26" t="n">
        <v>30000</v>
      </c>
      <c r="D28" s="26" t="n">
        <v>30000</v>
      </c>
      <c r="E28" s="76" t="inlineStr">
        <is>
          <t>일반입금</t>
        </is>
      </c>
      <c r="F28" s="76" t="inlineStr">
        <is>
          <t>장세영</t>
        </is>
      </c>
      <c r="G28" s="76" t="inlineStr">
        <is>
          <t>11월 회비</t>
        </is>
      </c>
    </row>
    <row r="29">
      <c r="A29" s="29" t="inlineStr">
        <is>
          <t>2024.11.06 22:50:20</t>
        </is>
      </c>
      <c r="B29" s="76" t="inlineStr">
        <is>
          <t>입금</t>
        </is>
      </c>
      <c r="C29" s="26" t="n">
        <v>15000</v>
      </c>
      <c r="D29" s="26" t="n">
        <v>45000</v>
      </c>
      <c r="E29" s="76" t="inlineStr">
        <is>
          <t>일반입금</t>
        </is>
      </c>
      <c r="F29" s="76" t="inlineStr">
        <is>
          <t>신동헌</t>
        </is>
      </c>
      <c r="G29" s="76" t="inlineStr">
        <is>
          <t>게스트</t>
        </is>
      </c>
    </row>
    <row r="30">
      <c r="A30" s="29" t="inlineStr">
        <is>
          <t>2024.11.11 11:55:34</t>
        </is>
      </c>
      <c r="B30" s="76" t="inlineStr">
        <is>
          <t>입금</t>
        </is>
      </c>
      <c r="C30" s="26" t="n">
        <v>640</v>
      </c>
      <c r="D30" s="26" t="n">
        <v>45640</v>
      </c>
      <c r="E30" s="76" t="inlineStr">
        <is>
          <t>캐시백</t>
        </is>
      </c>
      <c r="F30" s="76" t="inlineStr">
        <is>
          <t>프렌즈 체크카드 캐시백</t>
        </is>
      </c>
      <c r="G30" s="76" t="inlineStr">
        <is>
          <t>기타</t>
        </is>
      </c>
    </row>
    <row r="31">
      <c r="A31" s="29" t="inlineStr">
        <is>
          <t>2024.11.13 23:37:14</t>
        </is>
      </c>
      <c r="B31" s="76" t="inlineStr">
        <is>
          <t>입금</t>
        </is>
      </c>
      <c r="C31" s="26" t="n">
        <v>15000</v>
      </c>
      <c r="D31" s="26" t="n">
        <v>60640</v>
      </c>
      <c r="E31" s="76" t="inlineStr">
        <is>
          <t>일반입금</t>
        </is>
      </c>
      <c r="F31" s="76" t="inlineStr">
        <is>
          <t>지원게스트 11/13</t>
        </is>
      </c>
      <c r="G31" s="76" t="inlineStr">
        <is>
          <t>게스트</t>
        </is>
      </c>
    </row>
    <row r="32">
      <c r="A32" s="29" t="inlineStr">
        <is>
          <t>2024.11.14 00:07:08</t>
        </is>
      </c>
      <c r="B32" s="76" t="inlineStr">
        <is>
          <t>입금</t>
        </is>
      </c>
      <c r="C32" s="26" t="n">
        <v>45000</v>
      </c>
      <c r="D32" s="26" t="n">
        <v>105640</v>
      </c>
      <c r="E32" s="76" t="inlineStr">
        <is>
          <t>일반입금</t>
        </is>
      </c>
      <c r="F32" s="76" t="inlineStr">
        <is>
          <t>민주게스트3</t>
        </is>
      </c>
      <c r="G32" s="76" t="inlineStr">
        <is>
          <t>게스트</t>
        </is>
      </c>
    </row>
    <row r="33">
      <c r="A33" s="29" t="inlineStr">
        <is>
          <t>2024.11.16 16:44:40</t>
        </is>
      </c>
      <c r="B33" s="76" t="inlineStr">
        <is>
          <t>입금</t>
        </is>
      </c>
      <c r="C33" s="26" t="n">
        <v>30000</v>
      </c>
      <c r="D33" s="26" t="n">
        <v>135640</v>
      </c>
      <c r="E33" s="76" t="inlineStr">
        <is>
          <t>일반입금</t>
        </is>
      </c>
      <c r="F33" s="76" t="inlineStr">
        <is>
          <t>이민국</t>
        </is>
      </c>
      <c r="G33" s="76" t="inlineStr">
        <is>
          <t>12월 회비</t>
        </is>
      </c>
    </row>
    <row r="34">
      <c r="A34" s="29" t="inlineStr">
        <is>
          <t>2024.11.16 16:46:38</t>
        </is>
      </c>
      <c r="B34" s="76" t="inlineStr">
        <is>
          <t>입금</t>
        </is>
      </c>
      <c r="C34" s="26" t="n">
        <v>10000</v>
      </c>
      <c r="D34" s="26" t="n">
        <v>145640</v>
      </c>
      <c r="E34" s="76" t="inlineStr">
        <is>
          <t>일반입금</t>
        </is>
      </c>
      <c r="F34" s="76" t="inlineStr">
        <is>
          <t>최승호</t>
        </is>
      </c>
      <c r="G34" s="76" t="inlineStr">
        <is>
          <t>12월 회비</t>
        </is>
      </c>
    </row>
    <row r="35">
      <c r="A35" s="29" t="inlineStr">
        <is>
          <t>2024.11.16 16:46:54</t>
        </is>
      </c>
      <c r="B35" s="76" t="inlineStr">
        <is>
          <t>입금</t>
        </is>
      </c>
      <c r="C35" s="26" t="n">
        <v>60000</v>
      </c>
      <c r="D35" s="26" t="n">
        <v>205640</v>
      </c>
      <c r="E35" s="76" t="inlineStr">
        <is>
          <t>일반입금</t>
        </is>
      </c>
      <c r="F35" s="76" t="inlineStr">
        <is>
          <t>민주동헌12월</t>
        </is>
      </c>
      <c r="G35" s="76" t="inlineStr">
        <is>
          <t>12월 회비</t>
        </is>
      </c>
    </row>
    <row r="36">
      <c r="A36" s="29" t="inlineStr">
        <is>
          <t>2024.11.16 16:47:43</t>
        </is>
      </c>
      <c r="B36" s="76" t="inlineStr">
        <is>
          <t>입금</t>
        </is>
      </c>
      <c r="C36" s="26" t="n">
        <v>30000</v>
      </c>
      <c r="D36" s="26" t="n">
        <v>235640</v>
      </c>
      <c r="E36" s="76" t="inlineStr">
        <is>
          <t>일반입금</t>
        </is>
      </c>
      <c r="F36" s="76" t="inlineStr">
        <is>
          <t>김우경</t>
        </is>
      </c>
      <c r="G36" s="76" t="inlineStr">
        <is>
          <t>12월 회비</t>
        </is>
      </c>
    </row>
    <row r="37">
      <c r="A37" s="29" t="inlineStr">
        <is>
          <t>2024.11.16 16:51:14</t>
        </is>
      </c>
      <c r="B37" s="76" t="inlineStr">
        <is>
          <t>입금</t>
        </is>
      </c>
      <c r="C37" s="26" t="n">
        <v>30000</v>
      </c>
      <c r="D37" s="26" t="n">
        <v>265640</v>
      </c>
      <c r="E37" s="76" t="inlineStr">
        <is>
          <t>일반입금</t>
        </is>
      </c>
      <c r="F37" s="76" t="inlineStr">
        <is>
          <t>임한</t>
        </is>
      </c>
      <c r="G37" s="76" t="inlineStr">
        <is>
          <t>12월 회비</t>
        </is>
      </c>
    </row>
    <row r="38">
      <c r="A38" s="8" t="inlineStr">
        <is>
          <t>2024.11.16 16:56:11</t>
        </is>
      </c>
      <c r="B38" s="9" t="inlineStr">
        <is>
          <t>출금</t>
        </is>
      </c>
      <c r="C38" s="28" t="n">
        <v>-160000</v>
      </c>
      <c r="D38" s="28" t="n">
        <v>105640</v>
      </c>
      <c r="E38" s="9" t="inlineStr">
        <is>
          <t>체크카드결제</t>
        </is>
      </c>
      <c r="F38" s="9" t="inlineStr">
        <is>
          <t>주식회사 마이플레이</t>
        </is>
      </c>
      <c r="G38" s="9" t="inlineStr">
        <is>
          <t>12월 구장</t>
        </is>
      </c>
      <c r="H38" s="20" t="inlineStr">
        <is>
          <t>12월 구장</t>
        </is>
      </c>
    </row>
    <row r="39">
      <c r="A39" s="29" t="inlineStr">
        <is>
          <t>2024.11.16 18:17:24</t>
        </is>
      </c>
      <c r="B39" s="76" t="inlineStr">
        <is>
          <t>입금</t>
        </is>
      </c>
      <c r="C39" s="26" t="n">
        <v>30000</v>
      </c>
      <c r="D39" s="26" t="n">
        <v>135640</v>
      </c>
      <c r="E39" s="76" t="inlineStr">
        <is>
          <t>일반입금</t>
        </is>
      </c>
      <c r="F39" s="76" t="inlineStr">
        <is>
          <t>강성민 12월</t>
        </is>
      </c>
      <c r="G39" s="76" t="inlineStr">
        <is>
          <t>12월 회비</t>
        </is>
      </c>
      <c r="H39" s="20" t="n"/>
    </row>
    <row r="40">
      <c r="A40" s="29" t="inlineStr">
        <is>
          <t>2024.11.17 01:41:47</t>
        </is>
      </c>
      <c r="B40" s="76" t="inlineStr">
        <is>
          <t>입금</t>
        </is>
      </c>
      <c r="C40" s="26" t="n">
        <v>40000</v>
      </c>
      <c r="D40" s="26" t="n">
        <v>175640</v>
      </c>
      <c r="E40" s="76" t="inlineStr">
        <is>
          <t>일반입금</t>
        </is>
      </c>
      <c r="F40" s="76" t="inlineStr">
        <is>
          <t>원재식</t>
        </is>
      </c>
      <c r="G40" s="76" t="inlineStr">
        <is>
          <t>12월 회비</t>
        </is>
      </c>
      <c r="H40" s="20" t="n"/>
    </row>
    <row r="41">
      <c r="A41" s="8" t="inlineStr">
        <is>
          <t>2024.11.17 07:37:13</t>
        </is>
      </c>
      <c r="B41" s="9" t="inlineStr">
        <is>
          <t>출금</t>
        </is>
      </c>
      <c r="C41" s="28" t="n">
        <v>-160000</v>
      </c>
      <c r="D41" s="28" t="n">
        <v>15640</v>
      </c>
      <c r="E41" s="9" t="inlineStr">
        <is>
          <t>체크카드결제</t>
        </is>
      </c>
      <c r="F41" s="9" t="inlineStr">
        <is>
          <t>주식회사 마이플레이</t>
        </is>
      </c>
      <c r="G41" s="9" t="inlineStr">
        <is>
          <t>12월 구장</t>
        </is>
      </c>
      <c r="H41" s="20" t="inlineStr">
        <is>
          <t>12월 구장</t>
        </is>
      </c>
    </row>
    <row r="42">
      <c r="A42" s="29" t="inlineStr">
        <is>
          <t>2024.11.18 10:07:03</t>
        </is>
      </c>
      <c r="B42" s="76" t="inlineStr">
        <is>
          <t>입금</t>
        </is>
      </c>
      <c r="C42" s="26" t="n">
        <v>30000</v>
      </c>
      <c r="D42" s="26" t="n">
        <v>45640</v>
      </c>
      <c r="E42" s="76" t="inlineStr">
        <is>
          <t>일반입금</t>
        </is>
      </c>
      <c r="F42" s="76" t="inlineStr">
        <is>
          <t>마상현</t>
        </is>
      </c>
      <c r="G42" s="76" t="inlineStr">
        <is>
          <t>12월 회비</t>
        </is>
      </c>
    </row>
    <row r="43">
      <c r="A43" s="29" t="inlineStr">
        <is>
          <t>2024.11.18 10:47:57</t>
        </is>
      </c>
      <c r="B43" s="76" t="inlineStr">
        <is>
          <t>입금</t>
        </is>
      </c>
      <c r="C43" s="26" t="n">
        <v>30000</v>
      </c>
      <c r="D43" s="26" t="n">
        <v>75640</v>
      </c>
      <c r="E43" s="76" t="inlineStr">
        <is>
          <t>일반입금</t>
        </is>
      </c>
      <c r="F43" s="76" t="inlineStr">
        <is>
          <t>김균원 12월</t>
        </is>
      </c>
      <c r="G43" s="76" t="inlineStr">
        <is>
          <t>12월 회비</t>
        </is>
      </c>
    </row>
    <row r="44">
      <c r="A44" s="29" t="inlineStr">
        <is>
          <t>2024.11.18 16:02:18</t>
        </is>
      </c>
      <c r="B44" s="76" t="inlineStr">
        <is>
          <t>입금</t>
        </is>
      </c>
      <c r="C44" s="26" t="n">
        <v>15000</v>
      </c>
      <c r="D44" s="26" t="n">
        <v>90640</v>
      </c>
      <c r="E44" s="76" t="inlineStr">
        <is>
          <t>일반입금</t>
        </is>
      </c>
      <c r="F44" s="76" t="inlineStr">
        <is>
          <t>정하림_1127</t>
        </is>
      </c>
      <c r="G44" s="76" t="inlineStr">
        <is>
          <t>게스트</t>
        </is>
      </c>
    </row>
    <row r="45">
      <c r="A45" s="29" t="inlineStr">
        <is>
          <t>2024.11.18 16:34:02</t>
        </is>
      </c>
      <c r="B45" s="76" t="inlineStr">
        <is>
          <t>입금</t>
        </is>
      </c>
      <c r="C45" s="26" t="n">
        <v>30000</v>
      </c>
      <c r="D45" s="26" t="n">
        <v>120640</v>
      </c>
      <c r="E45" s="76" t="inlineStr">
        <is>
          <t>일반입금</t>
        </is>
      </c>
      <c r="F45" s="76" t="inlineStr">
        <is>
          <t>박우성 12월</t>
        </is>
      </c>
      <c r="G45" s="76" t="inlineStr">
        <is>
          <t>12월 회비</t>
        </is>
      </c>
    </row>
    <row r="46">
      <c r="A46" s="29" t="inlineStr">
        <is>
          <t>2024.11.18 18:41:26</t>
        </is>
      </c>
      <c r="B46" s="76" t="inlineStr">
        <is>
          <t>입금</t>
        </is>
      </c>
      <c r="C46" s="26" t="n">
        <v>30000</v>
      </c>
      <c r="D46" s="26" t="n">
        <v>150640</v>
      </c>
      <c r="E46" s="76" t="inlineStr">
        <is>
          <t>일반입금</t>
        </is>
      </c>
      <c r="F46" s="76" t="inlineStr">
        <is>
          <t>박지원12월</t>
        </is>
      </c>
      <c r="G46" s="76" t="inlineStr">
        <is>
          <t>12월 회비</t>
        </is>
      </c>
    </row>
    <row r="47">
      <c r="A47" s="29" t="inlineStr">
        <is>
          <t>2024.11.18 22:32:58</t>
        </is>
      </c>
      <c r="B47" s="76" t="inlineStr">
        <is>
          <t>입금</t>
        </is>
      </c>
      <c r="C47" s="26" t="n">
        <v>30000</v>
      </c>
      <c r="D47" s="26" t="n">
        <v>180640</v>
      </c>
      <c r="E47" s="76" t="inlineStr">
        <is>
          <t>일반입금</t>
        </is>
      </c>
      <c r="F47" s="76" t="inlineStr">
        <is>
          <t>심지수</t>
        </is>
      </c>
      <c r="G47" s="76" t="inlineStr">
        <is>
          <t>12월 회비</t>
        </is>
      </c>
    </row>
    <row r="48">
      <c r="A48" s="8" t="inlineStr">
        <is>
          <t>2024.11.19 07:08:37</t>
        </is>
      </c>
      <c r="B48" s="9" t="inlineStr">
        <is>
          <t>출금</t>
        </is>
      </c>
      <c r="C48" s="28" t="n">
        <v>-160000</v>
      </c>
      <c r="D48" s="28" t="n">
        <v>20640</v>
      </c>
      <c r="E48" s="9" t="inlineStr">
        <is>
          <t>체크카드결제</t>
        </is>
      </c>
      <c r="F48" s="9" t="inlineStr">
        <is>
          <t>주식회사 마이플레이</t>
        </is>
      </c>
      <c r="G48" s="9" t="inlineStr">
        <is>
          <t>12월 구장</t>
        </is>
      </c>
      <c r="H48" s="20" t="inlineStr">
        <is>
          <t>12월 구장</t>
        </is>
      </c>
    </row>
    <row r="49">
      <c r="A49" s="29" t="inlineStr">
        <is>
          <t>2024.11.20 11:51:35</t>
        </is>
      </c>
      <c r="B49" s="76" t="inlineStr">
        <is>
          <t>입금</t>
        </is>
      </c>
      <c r="C49" s="26" t="n">
        <v>40000</v>
      </c>
      <c r="D49" s="26" t="n">
        <v>60640</v>
      </c>
      <c r="E49" s="76" t="inlineStr">
        <is>
          <t>일반입금</t>
        </is>
      </c>
      <c r="F49" s="76" t="inlineStr">
        <is>
          <t>히범이연</t>
        </is>
      </c>
      <c r="G49" s="76" t="inlineStr">
        <is>
          <t>12월 회비</t>
        </is>
      </c>
    </row>
    <row r="50">
      <c r="A50" s="29" t="inlineStr">
        <is>
          <t>2024.11.20 14:12:09</t>
        </is>
      </c>
      <c r="B50" s="76" t="inlineStr">
        <is>
          <t>입금</t>
        </is>
      </c>
      <c r="C50" s="26" t="n">
        <v>30000</v>
      </c>
      <c r="D50" s="26" t="n">
        <v>90640</v>
      </c>
      <c r="E50" s="76" t="inlineStr">
        <is>
          <t>일반입금</t>
        </is>
      </c>
      <c r="F50" s="76" t="inlineStr">
        <is>
          <t>이일웅12</t>
        </is>
      </c>
      <c r="G50" s="76" t="inlineStr">
        <is>
          <t>12월 회비</t>
        </is>
      </c>
    </row>
    <row r="51">
      <c r="A51" s="29" t="inlineStr">
        <is>
          <t>2024.11.20 20:25:40</t>
        </is>
      </c>
      <c r="B51" s="76" t="inlineStr">
        <is>
          <t>입금</t>
        </is>
      </c>
      <c r="C51" s="26" t="n">
        <v>10000</v>
      </c>
      <c r="D51" s="26" t="n">
        <v>100640</v>
      </c>
      <c r="E51" s="76" t="inlineStr">
        <is>
          <t>일반입금</t>
        </is>
      </c>
      <c r="F51" s="76" t="inlineStr">
        <is>
          <t>홍순인</t>
        </is>
      </c>
      <c r="G51" s="76" t="inlineStr">
        <is>
          <t>12월 회비</t>
        </is>
      </c>
    </row>
    <row r="52">
      <c r="A52" s="29" t="inlineStr">
        <is>
          <t>2024.11.21 14:14:37</t>
        </is>
      </c>
      <c r="B52" s="76" t="inlineStr">
        <is>
          <t>입금</t>
        </is>
      </c>
      <c r="C52" s="26" t="n">
        <v>30000</v>
      </c>
      <c r="D52" s="26" t="n">
        <v>130640</v>
      </c>
      <c r="E52" s="76" t="inlineStr">
        <is>
          <t>일반입금</t>
        </is>
      </c>
      <c r="F52" s="76" t="inlineStr">
        <is>
          <t>박승한게스트2</t>
        </is>
      </c>
      <c r="G52" s="76" t="inlineStr">
        <is>
          <t>게스트</t>
        </is>
      </c>
    </row>
    <row r="53">
      <c r="A53" s="29" t="inlineStr">
        <is>
          <t>2024.11.21 14:25:10</t>
        </is>
      </c>
      <c r="B53" s="76" t="inlineStr">
        <is>
          <t>입금</t>
        </is>
      </c>
      <c r="C53" s="26" t="n">
        <v>15000</v>
      </c>
      <c r="D53" s="26" t="n">
        <v>145640</v>
      </c>
      <c r="E53" s="76" t="inlineStr">
        <is>
          <t>일반입금</t>
        </is>
      </c>
      <c r="F53" s="76" t="inlineStr">
        <is>
          <t>강성민게스트1명</t>
        </is>
      </c>
      <c r="G53" s="76" t="inlineStr">
        <is>
          <t>게스트</t>
        </is>
      </c>
    </row>
    <row r="54">
      <c r="A54" s="29" t="inlineStr">
        <is>
          <t>2024.11.21 14:39:08</t>
        </is>
      </c>
      <c r="B54" s="76" t="inlineStr">
        <is>
          <t>입금</t>
        </is>
      </c>
      <c r="C54" s="26" t="n">
        <v>30000</v>
      </c>
      <c r="D54" s="26" t="n">
        <v>175640</v>
      </c>
      <c r="E54" s="76" t="inlineStr">
        <is>
          <t>일반입금</t>
        </is>
      </c>
      <c r="F54" s="76" t="inlineStr">
        <is>
          <t>손다희</t>
        </is>
      </c>
      <c r="G54" s="76" t="inlineStr">
        <is>
          <t>12월 회비</t>
        </is>
      </c>
    </row>
    <row r="55">
      <c r="A55" s="29" t="inlineStr">
        <is>
          <t>2024.11.23 04:40:20</t>
        </is>
      </c>
      <c r="B55" s="76" t="inlineStr">
        <is>
          <t>입금</t>
        </is>
      </c>
      <c r="C55" s="26" t="n">
        <v>6</v>
      </c>
      <c r="D55" s="26" t="n">
        <v>175646</v>
      </c>
      <c r="E55" s="76" t="inlineStr">
        <is>
          <t>예금이자</t>
        </is>
      </c>
      <c r="F55" s="76" t="inlineStr">
        <is>
          <t>입출금통장 이자</t>
        </is>
      </c>
      <c r="G55" s="76" t="inlineStr">
        <is>
          <t>기타</t>
        </is>
      </c>
    </row>
    <row r="56">
      <c r="A56" s="29" t="inlineStr">
        <is>
          <t>2024.11.23 16:46:49</t>
        </is>
      </c>
      <c r="B56" s="76" t="inlineStr">
        <is>
          <t>입금</t>
        </is>
      </c>
      <c r="C56" s="26" t="n">
        <v>30000</v>
      </c>
      <c r="D56" s="26" t="n">
        <v>205646</v>
      </c>
      <c r="E56" s="76" t="inlineStr">
        <is>
          <t>일반입금</t>
        </is>
      </c>
      <c r="F56" s="76" t="inlineStr">
        <is>
          <t>정하림_12월</t>
        </is>
      </c>
      <c r="G56" s="76" t="inlineStr">
        <is>
          <t>12월 회비</t>
        </is>
      </c>
    </row>
    <row r="57">
      <c r="A57" s="29" t="inlineStr">
        <is>
          <t>2024.11.23 18:56:39</t>
        </is>
      </c>
      <c r="B57" s="76" t="inlineStr">
        <is>
          <t>입금</t>
        </is>
      </c>
      <c r="C57" s="26" t="n">
        <v>30000</v>
      </c>
      <c r="D57" s="26" t="n">
        <v>235646</v>
      </c>
      <c r="E57" s="76" t="inlineStr">
        <is>
          <t>일반입금</t>
        </is>
      </c>
      <c r="F57" s="76" t="inlineStr">
        <is>
          <t>이일웅 12월</t>
        </is>
      </c>
      <c r="G57" s="76" t="inlineStr">
        <is>
          <t>12월 회비</t>
        </is>
      </c>
    </row>
    <row r="58">
      <c r="A58" s="29" t="inlineStr">
        <is>
          <t>2024.11.23 19:14:49</t>
        </is>
      </c>
      <c r="B58" s="76" t="inlineStr">
        <is>
          <t>입금</t>
        </is>
      </c>
      <c r="C58" s="26" t="n">
        <v>30000</v>
      </c>
      <c r="D58" s="26" t="n">
        <v>265646</v>
      </c>
      <c r="E58" s="76" t="inlineStr">
        <is>
          <t>일반입금</t>
        </is>
      </c>
      <c r="F58" s="76" t="inlineStr">
        <is>
          <t>이주하</t>
        </is>
      </c>
      <c r="G58" s="76" t="inlineStr">
        <is>
          <t>12월 회비</t>
        </is>
      </c>
    </row>
    <row r="59">
      <c r="A59" s="29" t="inlineStr">
        <is>
          <t>2024.11.23 19:23:43</t>
        </is>
      </c>
      <c r="B59" s="76" t="inlineStr">
        <is>
          <t>입금</t>
        </is>
      </c>
      <c r="C59" s="26" t="n">
        <v>30000</v>
      </c>
      <c r="D59" s="26" t="n">
        <v>295646</v>
      </c>
      <c r="E59" s="76" t="inlineStr">
        <is>
          <t>일반입금</t>
        </is>
      </c>
      <c r="F59" s="76" t="inlineStr">
        <is>
          <t>김우경</t>
        </is>
      </c>
      <c r="G59" s="76" t="inlineStr">
        <is>
          <t>12월 회비</t>
        </is>
      </c>
    </row>
    <row r="60">
      <c r="A60" s="16" t="inlineStr">
        <is>
          <t>2024.11.27 11:38:43</t>
        </is>
      </c>
      <c r="B60" s="17" t="inlineStr">
        <is>
          <t>입금</t>
        </is>
      </c>
      <c r="C60" s="32" t="n">
        <v>160000</v>
      </c>
      <c r="D60" s="32" t="n">
        <v>455646</v>
      </c>
      <c r="E60" s="17" t="inlineStr">
        <is>
          <t>체크카드결제</t>
        </is>
      </c>
      <c r="F60" s="17" t="inlineStr">
        <is>
          <t>주식회사 마이플레이</t>
        </is>
      </c>
      <c r="G60" s="17" t="inlineStr">
        <is>
          <t>구장 환불</t>
        </is>
      </c>
      <c r="H60" s="12" t="n">
        <v>45988</v>
      </c>
    </row>
    <row r="61">
      <c r="A61" s="8" t="inlineStr">
        <is>
          <t>2024.11.27 11:53:35</t>
        </is>
      </c>
      <c r="B61" s="9" t="inlineStr">
        <is>
          <t>출금</t>
        </is>
      </c>
      <c r="C61" s="28" t="n">
        <v>-160000</v>
      </c>
      <c r="D61" s="28" t="n">
        <v>295646</v>
      </c>
      <c r="E61" s="9" t="inlineStr">
        <is>
          <t>체크카드결제</t>
        </is>
      </c>
      <c r="F61" s="9" t="inlineStr">
        <is>
          <t>주식회사 마이플레이</t>
        </is>
      </c>
      <c r="G61" s="9" t="inlineStr">
        <is>
          <t>12월 구장</t>
        </is>
      </c>
      <c r="H61" s="20" t="inlineStr">
        <is>
          <t>12월 구장</t>
        </is>
      </c>
    </row>
    <row r="62">
      <c r="A62" s="21" t="inlineStr">
        <is>
          <t>2024.11.27 16:55:14</t>
        </is>
      </c>
      <c r="B62" s="22" t="inlineStr">
        <is>
          <t>출금</t>
        </is>
      </c>
      <c r="C62" s="23" t="n">
        <v>-14998</v>
      </c>
      <c r="D62" s="23" t="n">
        <v>280648</v>
      </c>
      <c r="E62" s="22" t="inlineStr">
        <is>
          <t>자동이체(기타)</t>
        </is>
      </c>
      <c r="F62" s="22" t="inlineStr">
        <is>
          <t>카카오페이</t>
        </is>
      </c>
      <c r="G62" s="22" t="inlineStr">
        <is>
          <t>정하림 환불</t>
        </is>
      </c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</row>
    <row r="63">
      <c r="A63" s="29" t="inlineStr">
        <is>
          <t>2024.11.27 19:22:07</t>
        </is>
      </c>
      <c r="B63" s="76" t="inlineStr">
        <is>
          <t>입금</t>
        </is>
      </c>
      <c r="C63" s="26" t="n">
        <v>30000</v>
      </c>
      <c r="D63" s="26" t="n">
        <v>310648</v>
      </c>
      <c r="E63" s="76" t="inlineStr">
        <is>
          <t>일반입금</t>
        </is>
      </c>
      <c r="F63" s="76" t="inlineStr">
        <is>
          <t>장세영</t>
        </is>
      </c>
      <c r="G63" s="76" t="inlineStr">
        <is>
          <t>12월 회비</t>
        </is>
      </c>
    </row>
    <row r="64">
      <c r="A64" s="29" t="inlineStr">
        <is>
          <t>2024.11.27 19:26:31</t>
        </is>
      </c>
      <c r="B64" s="76" t="inlineStr">
        <is>
          <t>입금</t>
        </is>
      </c>
      <c r="C64" s="26" t="n">
        <v>30000</v>
      </c>
      <c r="D64" s="27" t="n">
        <v>340648</v>
      </c>
      <c r="E64" s="76" t="inlineStr">
        <is>
          <t>일반입금</t>
        </is>
      </c>
      <c r="F64" s="76" t="inlineStr">
        <is>
          <t>이규범</t>
        </is>
      </c>
      <c r="G64" s="76" t="inlineStr">
        <is>
          <t>12월 회비</t>
        </is>
      </c>
    </row>
    <row r="65">
      <c r="A65" s="29" t="n"/>
      <c r="B65" s="14" t="inlineStr">
        <is>
          <t>이월금액</t>
        </is>
      </c>
      <c r="C65" s="27" t="n">
        <v>20000</v>
      </c>
      <c r="D65" s="26" t="n"/>
      <c r="E65" s="76" t="n"/>
      <c r="F65" s="76" t="n"/>
      <c r="G65" s="76" t="n"/>
    </row>
    <row r="66">
      <c r="A66" s="29" t="n"/>
      <c r="B66" s="14" t="inlineStr">
        <is>
          <t>11월 입금</t>
        </is>
      </c>
      <c r="C66" s="27" t="n">
        <v>1135646</v>
      </c>
      <c r="D66" s="26" t="n"/>
      <c r="E66" s="76" t="n"/>
      <c r="F66" s="76" t="n"/>
      <c r="G66" s="76" t="n"/>
    </row>
    <row r="67">
      <c r="A67" s="29" t="n"/>
      <c r="B67" s="14" t="inlineStr">
        <is>
          <t>11월 출금</t>
        </is>
      </c>
      <c r="C67" s="27" t="n">
        <v>-814998</v>
      </c>
      <c r="D67" s="26" t="n"/>
      <c r="E67" s="76" t="n"/>
      <c r="F67" s="76" t="n"/>
      <c r="G67" s="76" t="n"/>
    </row>
    <row r="68">
      <c r="A68" s="29" t="inlineStr">
        <is>
          <t>2024.12.04 21:02:58</t>
        </is>
      </c>
      <c r="B68" s="76" t="inlineStr">
        <is>
          <t>출금</t>
        </is>
      </c>
      <c r="C68" s="26" t="n">
        <v>-105030</v>
      </c>
      <c r="D68" s="26" t="n">
        <v>235618</v>
      </c>
      <c r="E68" s="76" t="inlineStr">
        <is>
          <t>체크카드결제</t>
        </is>
      </c>
      <c r="F68" s="76" t="inlineStr">
        <is>
          <t>쿠팡(쿠페이)</t>
        </is>
      </c>
      <c r="G68" s="76" t="inlineStr">
        <is>
          <t>장비 구매</t>
        </is>
      </c>
    </row>
    <row r="69">
      <c r="A69" s="29" t="inlineStr">
        <is>
          <t>2024.12.06 17:45:04</t>
        </is>
      </c>
      <c r="B69" s="76" t="inlineStr">
        <is>
          <t>출금</t>
        </is>
      </c>
      <c r="C69" s="26" t="n">
        <v>-150000</v>
      </c>
      <c r="D69" s="26" t="n">
        <v>85618</v>
      </c>
      <c r="E69" s="76" t="inlineStr">
        <is>
          <t>체크카드결제</t>
        </is>
      </c>
      <c r="F69" s="76" t="inlineStr">
        <is>
          <t>주식회사 마이플레이</t>
        </is>
      </c>
      <c r="G69" s="76" t="inlineStr">
        <is>
          <t>구장비</t>
        </is>
      </c>
    </row>
    <row r="70">
      <c r="A70" s="29" t="inlineStr">
        <is>
          <t>2024.12.06 17:49:52</t>
        </is>
      </c>
      <c r="B70" s="76" t="inlineStr">
        <is>
          <t>입금</t>
        </is>
      </c>
      <c r="C70" s="26" t="n">
        <v>15000</v>
      </c>
      <c r="D70" s="26" t="n">
        <v>100618</v>
      </c>
      <c r="E70" s="76" t="inlineStr">
        <is>
          <t>일반입금</t>
        </is>
      </c>
      <c r="F70" s="76" t="inlineStr">
        <is>
          <t>임한 게스트</t>
        </is>
      </c>
      <c r="G70" s="76" t="inlineStr">
        <is>
          <t>게스트</t>
        </is>
      </c>
    </row>
    <row r="71">
      <c r="A71" s="29" t="inlineStr">
        <is>
          <t>2024.12.07 13:29:32</t>
        </is>
      </c>
      <c r="B71" s="76" t="inlineStr">
        <is>
          <t>입금</t>
        </is>
      </c>
      <c r="C71" s="26" t="n">
        <v>30000</v>
      </c>
      <c r="D71" s="26" t="n">
        <v>130618</v>
      </c>
      <c r="E71" s="76" t="inlineStr">
        <is>
          <t>일반입금</t>
        </is>
      </c>
      <c r="F71" s="76" t="inlineStr">
        <is>
          <t>게스트12/5</t>
        </is>
      </c>
      <c r="G71" s="76" t="inlineStr">
        <is>
          <t>게스트</t>
        </is>
      </c>
    </row>
    <row r="72">
      <c r="A72" s="16" t="inlineStr">
        <is>
          <t>2024.12.08 05:22:16</t>
        </is>
      </c>
      <c r="B72" s="17" t="inlineStr">
        <is>
          <t>출금</t>
        </is>
      </c>
      <c r="C72" s="32" t="n">
        <v>-18680</v>
      </c>
      <c r="D72" s="32" t="n">
        <v>111938</v>
      </c>
      <c r="E72" s="17" t="inlineStr">
        <is>
          <t>체크카드결제</t>
        </is>
      </c>
      <c r="F72" s="17" t="inlineStr">
        <is>
          <t>쿠팡(쿠페이)</t>
        </is>
      </c>
      <c r="G72" s="25" t="inlineStr">
        <is>
          <t>잘못 사용</t>
        </is>
      </c>
    </row>
    <row r="73">
      <c r="A73" s="16" t="inlineStr">
        <is>
          <t>2024.12.08 12:13:40</t>
        </is>
      </c>
      <c r="B73" s="17" t="inlineStr">
        <is>
          <t>입금</t>
        </is>
      </c>
      <c r="C73" s="32" t="n">
        <v>18680</v>
      </c>
      <c r="D73" s="32" t="n">
        <v>130618</v>
      </c>
      <c r="E73" s="17" t="inlineStr">
        <is>
          <t>일반입금</t>
        </is>
      </c>
      <c r="F73" s="17" t="inlineStr">
        <is>
          <t>박승한</t>
        </is>
      </c>
      <c r="G73" s="25" t="inlineStr">
        <is>
          <t>잘못 사용</t>
        </is>
      </c>
    </row>
    <row r="74">
      <c r="A74" s="29" t="inlineStr">
        <is>
          <t>2024.12.10 12:22:51</t>
        </is>
      </c>
      <c r="B74" s="76" t="inlineStr">
        <is>
          <t>입금</t>
        </is>
      </c>
      <c r="C74" s="26" t="n">
        <v>1920</v>
      </c>
      <c r="D74" s="26" t="n">
        <v>132538</v>
      </c>
      <c r="E74" s="76" t="inlineStr">
        <is>
          <t>캐시백</t>
        </is>
      </c>
      <c r="F74" s="76" t="inlineStr">
        <is>
          <t>프렌즈 체크카드 캐시백</t>
        </is>
      </c>
      <c r="G74" s="76" t="inlineStr">
        <is>
          <t>기타</t>
        </is>
      </c>
    </row>
    <row r="75">
      <c r="A75" s="29" t="inlineStr">
        <is>
          <t>2024.12.13 14:50:26</t>
        </is>
      </c>
      <c r="B75" s="76" t="inlineStr">
        <is>
          <t>입금</t>
        </is>
      </c>
      <c r="C75" s="26" t="n">
        <v>30000</v>
      </c>
      <c r="D75" s="26" t="n">
        <v>162538</v>
      </c>
      <c r="E75" s="76" t="inlineStr">
        <is>
          <t>일반입금</t>
        </is>
      </c>
      <c r="F75" s="76" t="inlineStr">
        <is>
          <t>임한 게스트2</t>
        </is>
      </c>
      <c r="G75" s="76" t="inlineStr">
        <is>
          <t>게스트</t>
        </is>
      </c>
    </row>
    <row r="76">
      <c r="A76" s="29" t="inlineStr">
        <is>
          <t>2024.12.16 14:28:50</t>
        </is>
      </c>
      <c r="B76" s="76" t="inlineStr">
        <is>
          <t>입금</t>
        </is>
      </c>
      <c r="C76" s="26" t="n">
        <v>60000</v>
      </c>
      <c r="D76" s="26" t="n">
        <v>222538</v>
      </c>
      <c r="E76" s="76" t="inlineStr">
        <is>
          <t>일반입금</t>
        </is>
      </c>
      <c r="F76" s="76" t="inlineStr">
        <is>
          <t>1월 민주동헌</t>
        </is>
      </c>
      <c r="G76" s="76" t="inlineStr">
        <is>
          <t>1월 회비</t>
        </is>
      </c>
    </row>
    <row r="77">
      <c r="A77" s="29" t="inlineStr">
        <is>
          <t>2024.12.16 15:32:41</t>
        </is>
      </c>
      <c r="B77" s="76" t="inlineStr">
        <is>
          <t>입금</t>
        </is>
      </c>
      <c r="C77" s="26" t="n">
        <v>10000</v>
      </c>
      <c r="D77" s="26" t="n">
        <v>232538</v>
      </c>
      <c r="E77" s="76" t="inlineStr">
        <is>
          <t>일반입금</t>
        </is>
      </c>
      <c r="F77" s="76" t="inlineStr">
        <is>
          <t>박승한</t>
        </is>
      </c>
      <c r="G77" s="76" t="inlineStr">
        <is>
          <t>1월 회비</t>
        </is>
      </c>
    </row>
    <row r="78">
      <c r="A78" s="29" t="inlineStr">
        <is>
          <t>2024.12.16 15:52:11</t>
        </is>
      </c>
      <c r="B78" s="76" t="inlineStr">
        <is>
          <t>입금</t>
        </is>
      </c>
      <c r="C78" s="26" t="n">
        <v>30000</v>
      </c>
      <c r="D78" s="26" t="n">
        <v>262538</v>
      </c>
      <c r="E78" s="76" t="inlineStr">
        <is>
          <t>일반입금</t>
        </is>
      </c>
      <c r="F78" s="76" t="inlineStr">
        <is>
          <t>박원주</t>
        </is>
      </c>
      <c r="G78" s="76" t="inlineStr">
        <is>
          <t>1월 회비</t>
        </is>
      </c>
    </row>
    <row r="79">
      <c r="A79" s="21" t="inlineStr">
        <is>
          <t>2024.12.17 08:39:48</t>
        </is>
      </c>
      <c r="B79" s="22" t="inlineStr">
        <is>
          <t>출금</t>
        </is>
      </c>
      <c r="C79" s="23" t="n">
        <v>-110999</v>
      </c>
      <c r="D79" s="23" t="n">
        <v>151539</v>
      </c>
      <c r="E79" s="22" t="inlineStr">
        <is>
          <t>자동이체(기타)</t>
        </is>
      </c>
      <c r="F79" s="22" t="inlineStr">
        <is>
          <t>카카오페이</t>
        </is>
      </c>
      <c r="G79" s="22" t="inlineStr">
        <is>
          <t>구장비</t>
        </is>
      </c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</row>
    <row r="80">
      <c r="A80" s="29" t="inlineStr">
        <is>
          <t>2024.12.17 08:41:01</t>
        </is>
      </c>
      <c r="B80" s="76" t="inlineStr">
        <is>
          <t>입금</t>
        </is>
      </c>
      <c r="C80" s="26" t="n">
        <v>10000</v>
      </c>
      <c r="D80" s="26" t="n">
        <v>161539</v>
      </c>
      <c r="E80" s="76" t="inlineStr">
        <is>
          <t>일반입금</t>
        </is>
      </c>
      <c r="F80" s="76" t="inlineStr">
        <is>
          <t>원재식</t>
        </is>
      </c>
      <c r="G80" s="76" t="inlineStr">
        <is>
          <t>1월 회비</t>
        </is>
      </c>
    </row>
    <row r="81">
      <c r="A81" s="29" t="inlineStr">
        <is>
          <t>2024.12.17 10:38:53</t>
        </is>
      </c>
      <c r="B81" s="76" t="inlineStr">
        <is>
          <t>입금</t>
        </is>
      </c>
      <c r="C81" s="26" t="n">
        <v>30000</v>
      </c>
      <c r="D81" s="26" t="n">
        <v>191539</v>
      </c>
      <c r="E81" s="76" t="inlineStr">
        <is>
          <t>일반입금</t>
        </is>
      </c>
      <c r="F81" s="76" t="inlineStr">
        <is>
          <t>임한 1월</t>
        </is>
      </c>
      <c r="G81" s="76" t="inlineStr">
        <is>
          <t>1월 회비</t>
        </is>
      </c>
    </row>
    <row r="82">
      <c r="A82" s="29" t="inlineStr">
        <is>
          <t>2024.12.17 10:40:16</t>
        </is>
      </c>
      <c r="B82" s="76" t="inlineStr">
        <is>
          <t>입금</t>
        </is>
      </c>
      <c r="C82" s="26" t="n">
        <v>30000</v>
      </c>
      <c r="D82" s="26" t="n">
        <v>221539</v>
      </c>
      <c r="E82" s="76" t="inlineStr">
        <is>
          <t>일반입금</t>
        </is>
      </c>
      <c r="F82" s="76" t="inlineStr">
        <is>
          <t>마상현1월회비</t>
        </is>
      </c>
      <c r="G82" s="76" t="inlineStr">
        <is>
          <t>1월 회비</t>
        </is>
      </c>
    </row>
    <row r="83">
      <c r="A83" s="29" t="inlineStr">
        <is>
          <t>2024.12.17 14:10:04</t>
        </is>
      </c>
      <c r="B83" s="76" t="inlineStr">
        <is>
          <t>입금</t>
        </is>
      </c>
      <c r="C83" s="26" t="n">
        <v>45000</v>
      </c>
      <c r="D83" s="26" t="n">
        <v>266539</v>
      </c>
      <c r="E83" s="76" t="inlineStr">
        <is>
          <t>일반입금</t>
        </is>
      </c>
      <c r="F83" s="76" t="inlineStr">
        <is>
          <t>하림1월게스트</t>
        </is>
      </c>
      <c r="G83" s="76" t="inlineStr">
        <is>
          <t>게스트</t>
        </is>
      </c>
    </row>
    <row r="84">
      <c r="A84" s="29" t="inlineStr">
        <is>
          <t>2024.12.17 14:58:41</t>
        </is>
      </c>
      <c r="B84" s="76" t="inlineStr">
        <is>
          <t>입금</t>
        </is>
      </c>
      <c r="C84" s="26" t="n">
        <v>30000</v>
      </c>
      <c r="D84" s="26" t="n">
        <v>296539</v>
      </c>
      <c r="E84" s="76" t="inlineStr">
        <is>
          <t>일반입금</t>
        </is>
      </c>
      <c r="F84" s="76" t="inlineStr">
        <is>
          <t>박지원</t>
        </is>
      </c>
      <c r="G84" s="76" t="inlineStr">
        <is>
          <t>1월 회비</t>
        </is>
      </c>
    </row>
    <row r="85">
      <c r="A85" s="29" t="inlineStr">
        <is>
          <t>2024.12.18 23:16:49</t>
        </is>
      </c>
      <c r="B85" s="76" t="inlineStr">
        <is>
          <t>입금</t>
        </is>
      </c>
      <c r="C85" s="26" t="n">
        <v>15000</v>
      </c>
      <c r="D85" s="26" t="n">
        <v>311539</v>
      </c>
      <c r="E85" s="76" t="inlineStr">
        <is>
          <t>일반입금</t>
        </is>
      </c>
      <c r="F85" s="76" t="inlineStr">
        <is>
          <t>박원주</t>
        </is>
      </c>
      <c r="G85" s="76" t="inlineStr">
        <is>
          <t>1월 회비</t>
        </is>
      </c>
    </row>
    <row r="86">
      <c r="A86" s="29" t="inlineStr">
        <is>
          <t>2024.12.19 10:07:56</t>
        </is>
      </c>
      <c r="B86" s="76" t="inlineStr">
        <is>
          <t>입금</t>
        </is>
      </c>
      <c r="C86" s="26" t="n">
        <v>45000</v>
      </c>
      <c r="D86" s="26" t="n">
        <v>356539</v>
      </c>
      <c r="E86" s="76" t="inlineStr">
        <is>
          <t>일반입금</t>
        </is>
      </c>
      <c r="F86" s="76" t="inlineStr">
        <is>
          <t>최승호_게스트3명</t>
        </is>
      </c>
      <c r="G86" s="76" t="inlineStr">
        <is>
          <t>게스트</t>
        </is>
      </c>
    </row>
    <row r="87">
      <c r="A87" s="29" t="inlineStr">
        <is>
          <t>2024.12.20 00:55:20</t>
        </is>
      </c>
      <c r="B87" s="76" t="inlineStr">
        <is>
          <t>입금</t>
        </is>
      </c>
      <c r="C87" s="26" t="n">
        <v>40000</v>
      </c>
      <c r="D87" s="26" t="n">
        <v>396539</v>
      </c>
      <c r="E87" s="76" t="inlineStr">
        <is>
          <t>일반입금</t>
        </is>
      </c>
      <c r="F87" s="76" t="inlineStr">
        <is>
          <t>히범이연1월</t>
        </is>
      </c>
      <c r="G87" s="76" t="inlineStr">
        <is>
          <t>1월 회비</t>
        </is>
      </c>
    </row>
    <row r="88">
      <c r="A88" s="29" t="inlineStr">
        <is>
          <t>2024.12.20 15:15:14</t>
        </is>
      </c>
      <c r="B88" s="76" t="inlineStr">
        <is>
          <t>입금</t>
        </is>
      </c>
      <c r="C88" s="26" t="n">
        <v>30000</v>
      </c>
      <c r="D88" s="26" t="n">
        <v>426539</v>
      </c>
      <c r="E88" s="76" t="inlineStr">
        <is>
          <t>일반입금</t>
        </is>
      </c>
      <c r="F88" s="76" t="inlineStr">
        <is>
          <t>심지수</t>
        </is>
      </c>
      <c r="G88" s="76" t="inlineStr">
        <is>
          <t>1월 회비</t>
        </is>
      </c>
    </row>
    <row r="89">
      <c r="A89" s="29" t="inlineStr">
        <is>
          <t>2024.12.20 19:02:22</t>
        </is>
      </c>
      <c r="B89" s="76" t="inlineStr">
        <is>
          <t>입금</t>
        </is>
      </c>
      <c r="C89" s="26" t="n">
        <v>30000</v>
      </c>
      <c r="D89" s="26" t="n">
        <v>456539</v>
      </c>
      <c r="E89" s="76" t="inlineStr">
        <is>
          <t>일반입금</t>
        </is>
      </c>
      <c r="F89" s="76" t="inlineStr">
        <is>
          <t>김균원 1월</t>
        </is>
      </c>
      <c r="G89" s="76" t="inlineStr">
        <is>
          <t>1월 회비</t>
        </is>
      </c>
    </row>
    <row r="90">
      <c r="A90" s="29" t="inlineStr">
        <is>
          <t>2024.12.20 19:07:41</t>
        </is>
      </c>
      <c r="B90" s="76" t="inlineStr">
        <is>
          <t>입금</t>
        </is>
      </c>
      <c r="C90" s="26" t="n">
        <v>30000</v>
      </c>
      <c r="D90" s="26" t="n">
        <v>486539</v>
      </c>
      <c r="E90" s="76" t="inlineStr">
        <is>
          <t>일반입금</t>
        </is>
      </c>
      <c r="F90" s="76" t="inlineStr">
        <is>
          <t>박원주</t>
        </is>
      </c>
      <c r="G90" s="76" t="inlineStr">
        <is>
          <t>1월 회비</t>
        </is>
      </c>
    </row>
    <row r="91">
      <c r="A91" s="29" t="inlineStr">
        <is>
          <t>2024.12.20 20:00:18</t>
        </is>
      </c>
      <c r="B91" s="76" t="inlineStr">
        <is>
          <t>입금</t>
        </is>
      </c>
      <c r="C91" s="26" t="n">
        <v>10000</v>
      </c>
      <c r="D91" s="26" t="n">
        <v>496539</v>
      </c>
      <c r="E91" s="76" t="inlineStr">
        <is>
          <t>일반입금</t>
        </is>
      </c>
      <c r="F91" s="76" t="inlineStr">
        <is>
          <t>최승호_1월회비</t>
        </is>
      </c>
      <c r="G91" s="76" t="inlineStr">
        <is>
          <t>1월 회비</t>
        </is>
      </c>
    </row>
    <row r="92">
      <c r="A92" s="29" t="inlineStr">
        <is>
          <t>2024.12.20 20:10:22</t>
        </is>
      </c>
      <c r="B92" s="76" t="inlineStr">
        <is>
          <t>입금</t>
        </is>
      </c>
      <c r="C92" s="26" t="n">
        <v>30000</v>
      </c>
      <c r="D92" s="26" t="n">
        <v>526539</v>
      </c>
      <c r="E92" s="76" t="inlineStr">
        <is>
          <t>일반입금</t>
        </is>
      </c>
      <c r="F92" s="76" t="inlineStr">
        <is>
          <t>이민국</t>
        </is>
      </c>
      <c r="G92" s="76" t="inlineStr">
        <is>
          <t>1월 회비</t>
        </is>
      </c>
    </row>
    <row r="93">
      <c r="A93" s="29" t="inlineStr">
        <is>
          <t>2024.12.21 19:19:39</t>
        </is>
      </c>
      <c r="B93" s="76" t="inlineStr">
        <is>
          <t>입금</t>
        </is>
      </c>
      <c r="C93" s="26" t="n">
        <v>10000</v>
      </c>
      <c r="D93" s="26" t="n">
        <v>536539</v>
      </c>
      <c r="E93" s="76" t="inlineStr">
        <is>
          <t>일반입금</t>
        </is>
      </c>
      <c r="F93" s="76" t="inlineStr">
        <is>
          <t>홍순인</t>
        </is>
      </c>
      <c r="G93" s="76" t="inlineStr">
        <is>
          <t>1월 회비</t>
        </is>
      </c>
    </row>
    <row r="94">
      <c r="A94" s="29" t="inlineStr">
        <is>
          <t>2024.12.22 00:17:37</t>
        </is>
      </c>
      <c r="B94" s="76" t="inlineStr">
        <is>
          <t>입금</t>
        </is>
      </c>
      <c r="C94" s="26" t="n">
        <v>30000</v>
      </c>
      <c r="D94" s="26" t="n">
        <v>566539</v>
      </c>
      <c r="E94" s="76" t="inlineStr">
        <is>
          <t>일반입금</t>
        </is>
      </c>
      <c r="F94" s="76" t="inlineStr">
        <is>
          <t>이규범</t>
        </is>
      </c>
      <c r="G94" s="76" t="inlineStr">
        <is>
          <t>1월 회비</t>
        </is>
      </c>
    </row>
    <row r="95">
      <c r="A95" s="29" t="inlineStr">
        <is>
          <t>2024.12.22 15:48:48</t>
        </is>
      </c>
      <c r="B95" s="76" t="inlineStr">
        <is>
          <t>입금</t>
        </is>
      </c>
      <c r="C95" s="26" t="n">
        <v>30000</v>
      </c>
      <c r="D95" s="26" t="n">
        <v>596539</v>
      </c>
      <c r="E95" s="76" t="inlineStr">
        <is>
          <t>일반입금</t>
        </is>
      </c>
      <c r="F95" s="76" t="inlineStr">
        <is>
          <t>장세영</t>
        </is>
      </c>
      <c r="G95" s="76" t="inlineStr">
        <is>
          <t>1월 회비</t>
        </is>
      </c>
    </row>
    <row r="96">
      <c r="A96" s="29" t="inlineStr">
        <is>
          <t>2024.12.23 16:34:08</t>
        </is>
      </c>
      <c r="B96" s="76" t="inlineStr">
        <is>
          <t>입금</t>
        </is>
      </c>
      <c r="C96" s="26" t="n">
        <v>30000</v>
      </c>
      <c r="D96" s="26" t="n">
        <v>626539</v>
      </c>
      <c r="E96" s="76" t="inlineStr">
        <is>
          <t>일반입금</t>
        </is>
      </c>
      <c r="F96" s="76" t="inlineStr">
        <is>
          <t>이주하</t>
        </is>
      </c>
      <c r="G96" s="76" t="inlineStr">
        <is>
          <t>1월 회비</t>
        </is>
      </c>
    </row>
    <row r="97">
      <c r="A97" s="8" t="inlineStr">
        <is>
          <t>2024.12.26 13:22:18</t>
        </is>
      </c>
      <c r="B97" s="9" t="inlineStr">
        <is>
          <t>출금</t>
        </is>
      </c>
      <c r="C97" s="28" t="n">
        <v>-110000</v>
      </c>
      <c r="D97" s="28" t="n">
        <v>516539</v>
      </c>
      <c r="E97" s="9" t="inlineStr">
        <is>
          <t>일반이체</t>
        </is>
      </c>
      <c r="F97" s="9" t="inlineStr">
        <is>
          <t>이인구(엔터블루)</t>
        </is>
      </c>
      <c r="G97" s="9" t="inlineStr">
        <is>
          <t>1월 구장</t>
        </is>
      </c>
      <c r="H97" s="12" t="n">
        <v>45672</v>
      </c>
    </row>
    <row r="98">
      <c r="A98" s="29" t="inlineStr">
        <is>
          <t>2024.12.28 04:50:03</t>
        </is>
      </c>
      <c r="B98" s="76" t="inlineStr">
        <is>
          <t>입금</t>
        </is>
      </c>
      <c r="C98" s="26" t="n">
        <v>30</v>
      </c>
      <c r="D98" s="27" t="n">
        <v>516569</v>
      </c>
      <c r="E98" s="76" t="inlineStr">
        <is>
          <t>예금이자</t>
        </is>
      </c>
      <c r="F98" s="76" t="inlineStr">
        <is>
          <t>입출금통장 이자</t>
        </is>
      </c>
      <c r="G98" s="76" t="inlineStr">
        <is>
          <t xml:space="preserve">기타 </t>
        </is>
      </c>
    </row>
    <row r="99">
      <c r="A99" s="29" t="n"/>
      <c r="B99" s="14" t="inlineStr">
        <is>
          <t>이월금액</t>
        </is>
      </c>
      <c r="C99" s="27" t="n">
        <v>340648</v>
      </c>
      <c r="D99" s="26" t="n"/>
      <c r="E99" s="76" t="n"/>
      <c r="F99" s="76" t="n"/>
      <c r="G99" s="76" t="n"/>
    </row>
    <row r="100">
      <c r="A100" s="29" t="n"/>
      <c r="B100" s="14" t="inlineStr">
        <is>
          <t>12월 입금</t>
        </is>
      </c>
      <c r="C100" s="27" t="n">
        <v>670630</v>
      </c>
      <c r="D100" s="26" t="n"/>
      <c r="E100" s="76" t="n"/>
      <c r="F100" s="76" t="n"/>
      <c r="G100" s="76" t="n"/>
    </row>
    <row r="101">
      <c r="A101" s="29" t="n"/>
      <c r="B101" s="14" t="inlineStr">
        <is>
          <t>12월 출금</t>
        </is>
      </c>
      <c r="C101" s="27" t="n">
        <v>-494709</v>
      </c>
      <c r="D101" s="26" t="n"/>
      <c r="E101" s="76" t="n"/>
      <c r="F101" s="76" t="n"/>
      <c r="G101" s="76" t="n"/>
    </row>
    <row r="102">
      <c r="A102" s="8" t="inlineStr">
        <is>
          <t>2025.01.01 10:15:27</t>
        </is>
      </c>
      <c r="B102" s="9" t="inlineStr">
        <is>
          <t>출금</t>
        </is>
      </c>
      <c r="C102" s="28" t="n">
        <v>-115000</v>
      </c>
      <c r="D102" s="28" t="n">
        <v>401569</v>
      </c>
      <c r="E102" s="9" t="inlineStr">
        <is>
          <t>자동이체(기타)</t>
        </is>
      </c>
      <c r="F102" s="9" t="inlineStr">
        <is>
          <t>카카오페이</t>
        </is>
      </c>
      <c r="G102" s="9" t="inlineStr">
        <is>
          <t>2월 구장</t>
        </is>
      </c>
      <c r="H102" s="12" t="n"/>
    </row>
    <row r="103">
      <c r="A103" s="8" t="inlineStr">
        <is>
          <t>2025.01.01 10:15:52</t>
        </is>
      </c>
      <c r="B103" s="9" t="inlineStr">
        <is>
          <t>출금</t>
        </is>
      </c>
      <c r="C103" s="28" t="n">
        <v>-115000</v>
      </c>
      <c r="D103" s="28" t="n">
        <v>286569</v>
      </c>
      <c r="E103" s="9" t="inlineStr">
        <is>
          <t>자동이체(기타)</t>
        </is>
      </c>
      <c r="F103" s="9" t="inlineStr">
        <is>
          <t>카카오페이</t>
        </is>
      </c>
      <c r="G103" s="9" t="inlineStr">
        <is>
          <t>2월 구장</t>
        </is>
      </c>
      <c r="H103" s="12" t="n"/>
    </row>
    <row r="104">
      <c r="A104" s="8" t="inlineStr">
        <is>
          <t>2025.01.01 10:30:49</t>
        </is>
      </c>
      <c r="B104" s="9" t="inlineStr">
        <is>
          <t>출금</t>
        </is>
      </c>
      <c r="C104" s="28" t="n">
        <v>-110000</v>
      </c>
      <c r="D104" s="28" t="n">
        <v>176569</v>
      </c>
      <c r="E104" s="9" t="inlineStr">
        <is>
          <t>일반이체</t>
        </is>
      </c>
      <c r="F104" s="9" t="inlineStr">
        <is>
          <t>이인구(엔터블루)</t>
        </is>
      </c>
      <c r="G104" s="9" t="inlineStr">
        <is>
          <t>2월 구장</t>
        </is>
      </c>
      <c r="H104" s="12" t="n"/>
    </row>
    <row r="105">
      <c r="A105" s="8" t="inlineStr">
        <is>
          <t>2025.01.07 13:33:28</t>
        </is>
      </c>
      <c r="B105" s="9" t="inlineStr">
        <is>
          <t>출금</t>
        </is>
      </c>
      <c r="C105" s="28" t="n">
        <v>-150000</v>
      </c>
      <c r="D105" s="28" t="n">
        <v>26569</v>
      </c>
      <c r="E105" s="9" t="inlineStr">
        <is>
          <t>체크카드결제</t>
        </is>
      </c>
      <c r="F105" s="9" t="inlineStr">
        <is>
          <t>주식회사 마이플레이</t>
        </is>
      </c>
      <c r="G105" s="9" t="inlineStr">
        <is>
          <t>2월 구장</t>
        </is>
      </c>
      <c r="H105" s="12" t="n">
        <v>45707</v>
      </c>
    </row>
    <row r="106">
      <c r="A106" s="29" t="inlineStr">
        <is>
          <t>2025.01.07 14:20:41</t>
        </is>
      </c>
      <c r="B106" s="76" t="inlineStr">
        <is>
          <t>입금</t>
        </is>
      </c>
      <c r="C106" s="26" t="n">
        <v>15000</v>
      </c>
      <c r="D106" s="26" t="n">
        <v>41569</v>
      </c>
      <c r="E106" s="76" t="inlineStr">
        <is>
          <t>일반입금</t>
        </is>
      </c>
      <c r="F106" s="76" t="inlineStr">
        <is>
          <t>신동헌</t>
        </is>
      </c>
      <c r="G106" s="76" t="inlineStr">
        <is>
          <t>게스트</t>
        </is>
      </c>
    </row>
    <row r="107">
      <c r="A107" s="29" t="inlineStr">
        <is>
          <t>2025.01.10 12:00:23</t>
        </is>
      </c>
      <c r="B107" s="76" t="inlineStr">
        <is>
          <t>입금</t>
        </is>
      </c>
      <c r="C107" s="26" t="n">
        <v>3586</v>
      </c>
      <c r="D107" s="26" t="n">
        <v>45155</v>
      </c>
      <c r="E107" s="76" t="inlineStr">
        <is>
          <t>캐시백</t>
        </is>
      </c>
      <c r="F107" s="76" t="inlineStr">
        <is>
          <t>프렌즈 체크카드 캐시백</t>
        </is>
      </c>
      <c r="G107" s="76" t="inlineStr">
        <is>
          <t>기타</t>
        </is>
      </c>
    </row>
    <row r="108">
      <c r="A108" s="16" t="inlineStr">
        <is>
          <t>2025.01.14 08:15:56</t>
        </is>
      </c>
      <c r="B108" s="17" t="inlineStr">
        <is>
          <t>입금</t>
        </is>
      </c>
      <c r="C108" s="32" t="n">
        <v>150000</v>
      </c>
      <c r="D108" s="32" t="n">
        <v>195155</v>
      </c>
      <c r="E108" s="17" t="inlineStr">
        <is>
          <t>체크카드결제</t>
        </is>
      </c>
      <c r="F108" s="17" t="inlineStr">
        <is>
          <t>주식회사 마이플레이</t>
        </is>
      </c>
      <c r="G108" s="17" t="inlineStr">
        <is>
          <t>구장 환불</t>
        </is>
      </c>
    </row>
    <row r="109">
      <c r="A109" s="16" t="inlineStr">
        <is>
          <t>2025.01.15 14:39:40</t>
        </is>
      </c>
      <c r="B109" s="17" t="inlineStr">
        <is>
          <t>입금</t>
        </is>
      </c>
      <c r="C109" s="32" t="n">
        <v>110000</v>
      </c>
      <c r="D109" s="32" t="n">
        <v>305155</v>
      </c>
      <c r="E109" s="17" t="inlineStr">
        <is>
          <t>일반입금</t>
        </is>
      </c>
      <c r="F109" s="17" t="inlineStr">
        <is>
          <t>풋살장환불</t>
        </is>
      </c>
      <c r="G109" s="17" t="inlineStr">
        <is>
          <t>구장 환불</t>
        </is>
      </c>
    </row>
    <row r="110">
      <c r="A110" s="8" t="inlineStr">
        <is>
          <t>2025.01.15 16:43:30</t>
        </is>
      </c>
      <c r="B110" s="9" t="inlineStr">
        <is>
          <t>출금</t>
        </is>
      </c>
      <c r="C110" s="28" t="n">
        <v>-198000</v>
      </c>
      <c r="D110" s="28" t="n">
        <v>107155</v>
      </c>
      <c r="E110" s="9" t="inlineStr">
        <is>
          <t>일반이체</t>
        </is>
      </c>
      <c r="F110" s="9" t="inlineStr">
        <is>
          <t>(주)더크라우드</t>
        </is>
      </c>
      <c r="G110" s="9" t="inlineStr">
        <is>
          <t>2월 구장</t>
        </is>
      </c>
      <c r="H110" s="76" t="inlineStr">
        <is>
          <t>2월 5일, 2월 19일</t>
        </is>
      </c>
    </row>
    <row r="111">
      <c r="A111" s="29" t="inlineStr">
        <is>
          <t>2025.01.15 17:09:12</t>
        </is>
      </c>
      <c r="B111" s="76" t="inlineStr">
        <is>
          <t>입금</t>
        </is>
      </c>
      <c r="C111" s="26" t="n">
        <v>30000</v>
      </c>
      <c r="D111" s="26" t="n">
        <v>137155</v>
      </c>
      <c r="E111" s="76" t="inlineStr">
        <is>
          <t>일반입금</t>
        </is>
      </c>
      <c r="F111" s="76" t="inlineStr">
        <is>
          <t>이민국</t>
        </is>
      </c>
      <c r="G111" s="76" t="inlineStr">
        <is>
          <t>2월 회비</t>
        </is>
      </c>
    </row>
    <row r="112">
      <c r="A112" s="29" t="inlineStr">
        <is>
          <t>2025.01.15 17:14:51</t>
        </is>
      </c>
      <c r="B112" s="76" t="inlineStr">
        <is>
          <t>입금</t>
        </is>
      </c>
      <c r="C112" s="26" t="n">
        <v>10000</v>
      </c>
      <c r="D112" s="26" t="n">
        <v>147155</v>
      </c>
      <c r="E112" s="76" t="inlineStr">
        <is>
          <t>일반입금</t>
        </is>
      </c>
      <c r="F112" s="76" t="inlineStr">
        <is>
          <t>홍순인</t>
        </is>
      </c>
      <c r="G112" s="76" t="inlineStr">
        <is>
          <t>2월 회비</t>
        </is>
      </c>
    </row>
    <row r="113">
      <c r="A113" s="29" t="inlineStr">
        <is>
          <t>2025.01.15 17:52:37</t>
        </is>
      </c>
      <c r="B113" s="76" t="inlineStr">
        <is>
          <t>입금</t>
        </is>
      </c>
      <c r="C113" s="26" t="n">
        <v>30000</v>
      </c>
      <c r="D113" s="26" t="n">
        <v>177155</v>
      </c>
      <c r="E113" s="76" t="inlineStr">
        <is>
          <t>일반입금</t>
        </is>
      </c>
      <c r="F113" s="76" t="inlineStr">
        <is>
          <t>임한</t>
        </is>
      </c>
      <c r="G113" s="76" t="inlineStr">
        <is>
          <t>2월 회비</t>
        </is>
      </c>
    </row>
    <row r="114">
      <c r="A114" s="29" t="inlineStr">
        <is>
          <t>2025.01.15 18:14:04</t>
        </is>
      </c>
      <c r="B114" s="76" t="inlineStr">
        <is>
          <t>입금</t>
        </is>
      </c>
      <c r="C114" s="26" t="n">
        <v>10000</v>
      </c>
      <c r="D114" s="26" t="n">
        <v>187155</v>
      </c>
      <c r="E114" s="76" t="inlineStr">
        <is>
          <t>일반입금</t>
        </is>
      </c>
      <c r="F114" s="76" t="inlineStr">
        <is>
          <t>박승한</t>
        </is>
      </c>
      <c r="G114" s="76" t="inlineStr">
        <is>
          <t>2월 회비</t>
        </is>
      </c>
    </row>
    <row r="115">
      <c r="A115" s="29" t="inlineStr">
        <is>
          <t>2025.01.15 18:44:58</t>
        </is>
      </c>
      <c r="B115" s="76" t="inlineStr">
        <is>
          <t>입금</t>
        </is>
      </c>
      <c r="C115" s="26" t="n">
        <v>10000</v>
      </c>
      <c r="D115" s="26" t="n">
        <v>197155</v>
      </c>
      <c r="E115" s="76" t="inlineStr">
        <is>
          <t>일반입금</t>
        </is>
      </c>
      <c r="F115" s="76" t="inlineStr">
        <is>
          <t>최승호_2월</t>
        </is>
      </c>
      <c r="G115" s="76" t="inlineStr">
        <is>
          <t>2월 회비</t>
        </is>
      </c>
    </row>
    <row r="116">
      <c r="A116" s="29" t="inlineStr">
        <is>
          <t>2025.01.15 19:02:25</t>
        </is>
      </c>
      <c r="B116" s="76" t="inlineStr">
        <is>
          <t>입금</t>
        </is>
      </c>
      <c r="C116" s="26" t="n">
        <v>30000</v>
      </c>
      <c r="D116" s="26" t="n">
        <v>227155</v>
      </c>
      <c r="E116" s="76" t="inlineStr">
        <is>
          <t>일반입금</t>
        </is>
      </c>
      <c r="F116" s="76" t="inlineStr">
        <is>
          <t>박지원</t>
        </is>
      </c>
      <c r="G116" s="76" t="inlineStr">
        <is>
          <t>2월 회비</t>
        </is>
      </c>
    </row>
    <row r="117">
      <c r="A117" s="29" t="inlineStr">
        <is>
          <t>2025.01.15 20:40:42</t>
        </is>
      </c>
      <c r="B117" s="76" t="inlineStr">
        <is>
          <t>입금</t>
        </is>
      </c>
      <c r="C117" s="26" t="n">
        <v>60000</v>
      </c>
      <c r="D117" s="26" t="n">
        <v>287155</v>
      </c>
      <c r="E117" s="76" t="inlineStr">
        <is>
          <t>일반입금</t>
        </is>
      </c>
      <c r="F117" s="76" t="inlineStr">
        <is>
          <t>민주동헌2월</t>
        </is>
      </c>
      <c r="G117" s="76" t="inlineStr">
        <is>
          <t>2월 회비</t>
        </is>
      </c>
    </row>
    <row r="118">
      <c r="A118" s="29" t="inlineStr">
        <is>
          <t>2025.01.17 10:28:11</t>
        </is>
      </c>
      <c r="B118" s="76" t="inlineStr">
        <is>
          <t>입금</t>
        </is>
      </c>
      <c r="C118" s="26" t="n">
        <v>40000</v>
      </c>
      <c r="D118" s="26" t="n">
        <v>327155</v>
      </c>
      <c r="E118" s="76" t="inlineStr">
        <is>
          <t>일반입금</t>
        </is>
      </c>
      <c r="F118" s="76" t="inlineStr">
        <is>
          <t>원재식</t>
        </is>
      </c>
      <c r="G118" s="76" t="inlineStr">
        <is>
          <t>2월 회비</t>
        </is>
      </c>
    </row>
    <row r="119">
      <c r="A119" s="8" t="inlineStr">
        <is>
          <t>2025.01.17 10:37:50</t>
        </is>
      </c>
      <c r="B119" s="9" t="inlineStr">
        <is>
          <t>출금</t>
        </is>
      </c>
      <c r="C119" s="28" t="n">
        <v>-62400</v>
      </c>
      <c r="D119" s="28" t="n">
        <v>264755</v>
      </c>
      <c r="E119" s="9" t="inlineStr">
        <is>
          <t>일반이체</t>
        </is>
      </c>
      <c r="F119" s="9" t="inlineStr">
        <is>
          <t>2.26 구장예약</t>
        </is>
      </c>
      <c r="G119" s="9" t="inlineStr">
        <is>
          <t>2월 구장</t>
        </is>
      </c>
      <c r="H119" s="12" t="n">
        <v>45714</v>
      </c>
    </row>
    <row r="120">
      <c r="A120" s="29" t="inlineStr">
        <is>
          <t>2025.01.18 15:00:42</t>
        </is>
      </c>
      <c r="B120" s="76" t="inlineStr">
        <is>
          <t>입금</t>
        </is>
      </c>
      <c r="C120" s="26" t="n">
        <v>30000</v>
      </c>
      <c r="D120" s="26" t="n">
        <v>294755</v>
      </c>
      <c r="E120" s="76" t="inlineStr">
        <is>
          <t>일반입금</t>
        </is>
      </c>
      <c r="F120" s="76" t="inlineStr">
        <is>
          <t>마상현2월</t>
        </is>
      </c>
      <c r="G120" s="76" t="inlineStr">
        <is>
          <t>2월 회비</t>
        </is>
      </c>
    </row>
    <row r="121">
      <c r="A121" s="29" t="inlineStr">
        <is>
          <t>2025.01.18 17:19:39</t>
        </is>
      </c>
      <c r="B121" s="76" t="inlineStr">
        <is>
          <t>입금</t>
        </is>
      </c>
      <c r="C121" s="26" t="n">
        <v>30000</v>
      </c>
      <c r="D121" s="26" t="n">
        <v>324755</v>
      </c>
      <c r="E121" s="76" t="inlineStr">
        <is>
          <t>일반입금</t>
        </is>
      </c>
      <c r="F121" s="76" t="inlineStr">
        <is>
          <t>심지수</t>
        </is>
      </c>
      <c r="G121" s="76" t="inlineStr">
        <is>
          <t>2월 회비</t>
        </is>
      </c>
    </row>
    <row r="122">
      <c r="A122" s="29" t="inlineStr">
        <is>
          <t>2025.01.20 10:18:55</t>
        </is>
      </c>
      <c r="B122" s="76" t="inlineStr">
        <is>
          <t>입금</t>
        </is>
      </c>
      <c r="C122" s="26" t="n">
        <v>30000</v>
      </c>
      <c r="D122" s="26" t="n">
        <v>354755</v>
      </c>
      <c r="E122" s="76" t="inlineStr">
        <is>
          <t>일반입금</t>
        </is>
      </c>
      <c r="F122" s="76" t="inlineStr">
        <is>
          <t>이일웅</t>
        </is>
      </c>
      <c r="G122" s="76" t="inlineStr">
        <is>
          <t>2월 회비</t>
        </is>
      </c>
    </row>
    <row r="123">
      <c r="A123" s="16" t="inlineStr">
        <is>
          <t>2025.01.20 14:05:05</t>
        </is>
      </c>
      <c r="B123" s="17" t="inlineStr">
        <is>
          <t>입금</t>
        </is>
      </c>
      <c r="C123" s="32" t="n">
        <v>115000</v>
      </c>
      <c r="D123" s="32" t="n">
        <v>469755</v>
      </c>
      <c r="E123" s="17" t="inlineStr">
        <is>
          <t>일반입금</t>
        </is>
      </c>
      <c r="F123" s="17" t="inlineStr">
        <is>
          <t>주식회사진인</t>
        </is>
      </c>
      <c r="G123" s="17" t="inlineStr">
        <is>
          <t>구장 환불</t>
        </is>
      </c>
      <c r="H123" s="12" t="n">
        <v>45714</v>
      </c>
    </row>
    <row r="124">
      <c r="A124" s="29" t="inlineStr">
        <is>
          <t>2025.01.21 15:19:48</t>
        </is>
      </c>
      <c r="B124" s="76" t="inlineStr">
        <is>
          <t>입금</t>
        </is>
      </c>
      <c r="C124" s="26" t="n">
        <v>40000</v>
      </c>
      <c r="D124" s="26" t="n">
        <v>509755</v>
      </c>
      <c r="E124" s="76" t="inlineStr">
        <is>
          <t>일반입금</t>
        </is>
      </c>
      <c r="F124" s="76" t="inlineStr">
        <is>
          <t>히범이연</t>
        </is>
      </c>
      <c r="G124" s="76" t="inlineStr">
        <is>
          <t>2월 회비</t>
        </is>
      </c>
    </row>
    <row r="125">
      <c r="A125" s="29" t="inlineStr">
        <is>
          <t>2025.01.21 22:17:19</t>
        </is>
      </c>
      <c r="B125" s="76" t="inlineStr">
        <is>
          <t>입금</t>
        </is>
      </c>
      <c r="C125" s="26" t="n">
        <v>30000</v>
      </c>
      <c r="D125" s="26" t="n">
        <v>539755</v>
      </c>
      <c r="E125" s="76" t="inlineStr">
        <is>
          <t>일반입금</t>
        </is>
      </c>
      <c r="F125" s="76" t="inlineStr">
        <is>
          <t>손다희</t>
        </is>
      </c>
      <c r="G125" s="76" t="inlineStr">
        <is>
          <t>2월 회비</t>
        </is>
      </c>
    </row>
    <row r="126">
      <c r="A126" s="29" t="inlineStr">
        <is>
          <t>2025.01.22 11:51:52</t>
        </is>
      </c>
      <c r="B126" s="76" t="inlineStr">
        <is>
          <t>입금</t>
        </is>
      </c>
      <c r="C126" s="26" t="n">
        <v>30000</v>
      </c>
      <c r="D126" s="26" t="n">
        <v>569755</v>
      </c>
      <c r="E126" s="76" t="inlineStr">
        <is>
          <t>일반입금</t>
        </is>
      </c>
      <c r="F126" s="76" t="inlineStr">
        <is>
          <t>김우경</t>
        </is>
      </c>
      <c r="G126" s="76" t="inlineStr">
        <is>
          <t>2월 회비</t>
        </is>
      </c>
    </row>
    <row r="127">
      <c r="A127" s="29" t="inlineStr">
        <is>
          <t>2025.01.22 16:17:09</t>
        </is>
      </c>
      <c r="B127" s="76" t="inlineStr">
        <is>
          <t>입금</t>
        </is>
      </c>
      <c r="C127" s="26" t="n">
        <v>30000</v>
      </c>
      <c r="D127" s="26" t="n">
        <v>599755</v>
      </c>
      <c r="E127" s="76" t="inlineStr">
        <is>
          <t>일반입금</t>
        </is>
      </c>
      <c r="F127" s="76" t="inlineStr">
        <is>
          <t>김균원2월</t>
        </is>
      </c>
      <c r="G127" s="76" t="inlineStr">
        <is>
          <t>2월 회비</t>
        </is>
      </c>
    </row>
    <row r="128">
      <c r="A128" s="29" t="inlineStr">
        <is>
          <t>2025.01.22 19:33:25</t>
        </is>
      </c>
      <c r="B128" s="76" t="inlineStr">
        <is>
          <t>입금</t>
        </is>
      </c>
      <c r="C128" s="26" t="n">
        <v>30000</v>
      </c>
      <c r="D128" s="26" t="n">
        <v>629755</v>
      </c>
      <c r="E128" s="76" t="inlineStr">
        <is>
          <t>일반입금</t>
        </is>
      </c>
      <c r="F128" s="76" t="inlineStr">
        <is>
          <t>주예은게스트2</t>
        </is>
      </c>
      <c r="G128" s="76" t="inlineStr">
        <is>
          <t>게스트</t>
        </is>
      </c>
    </row>
    <row r="129">
      <c r="A129" s="29" t="inlineStr">
        <is>
          <t>2025.01.23 22:34:58</t>
        </is>
      </c>
      <c r="B129" s="76" t="inlineStr">
        <is>
          <t>입금</t>
        </is>
      </c>
      <c r="C129" s="26" t="n">
        <v>15000</v>
      </c>
      <c r="D129" s="26" t="n">
        <v>644755</v>
      </c>
      <c r="E129" s="76" t="inlineStr">
        <is>
          <t>일반입금</t>
        </is>
      </c>
      <c r="F129" s="76" t="inlineStr">
        <is>
          <t>김진홍</t>
        </is>
      </c>
      <c r="G129" s="76" t="inlineStr">
        <is>
          <t>게스트</t>
        </is>
      </c>
    </row>
    <row r="130">
      <c r="A130" s="29" t="inlineStr">
        <is>
          <t>2025.01.25 04:49:18</t>
        </is>
      </c>
      <c r="B130" s="76" t="inlineStr">
        <is>
          <t>입금</t>
        </is>
      </c>
      <c r="C130" s="26" t="n">
        <v>22</v>
      </c>
      <c r="D130" s="27" t="n">
        <v>644777</v>
      </c>
      <c r="E130" s="76" t="inlineStr">
        <is>
          <t>예금이자</t>
        </is>
      </c>
      <c r="F130" s="76" t="inlineStr">
        <is>
          <t>입출금통장 이자</t>
        </is>
      </c>
      <c r="G130" s="76" t="inlineStr">
        <is>
          <t>기타</t>
        </is>
      </c>
    </row>
    <row r="131">
      <c r="A131" s="29" t="n"/>
      <c r="B131" s="14" t="inlineStr">
        <is>
          <t>이월금액</t>
        </is>
      </c>
      <c r="C131" s="27" t="n">
        <v>516569</v>
      </c>
    </row>
    <row r="132">
      <c r="A132" s="29" t="n"/>
      <c r="B132" s="14" t="inlineStr">
        <is>
          <t>1월 입금</t>
        </is>
      </c>
      <c r="C132" s="27" t="n">
        <v>878608</v>
      </c>
    </row>
    <row r="133">
      <c r="A133" s="29" t="n"/>
      <c r="B133" s="14" t="inlineStr">
        <is>
          <t>1월 출금</t>
        </is>
      </c>
      <c r="C133" s="27" t="n">
        <v>-750400</v>
      </c>
    </row>
    <row r="134">
      <c r="A134" s="8" t="inlineStr">
        <is>
          <t>2025.02.01 10:32:19</t>
        </is>
      </c>
      <c r="B134" s="9" t="inlineStr">
        <is>
          <t>출금</t>
        </is>
      </c>
      <c r="C134" s="28" t="n">
        <v>-115000</v>
      </c>
      <c r="D134" s="28" t="n">
        <v>529777</v>
      </c>
      <c r="E134" s="9" t="inlineStr">
        <is>
          <t>자동이체(기타)</t>
        </is>
      </c>
      <c r="F134" s="9" t="inlineStr">
        <is>
          <t>카카오페이</t>
        </is>
      </c>
      <c r="G134" s="140" t="inlineStr">
        <is>
          <t>3월 구장</t>
        </is>
      </c>
      <c r="H134" s="12" t="n">
        <v>45735</v>
      </c>
    </row>
    <row r="135">
      <c r="A135" s="8" t="inlineStr">
        <is>
          <t>2025.02.01 10:32:42</t>
        </is>
      </c>
      <c r="B135" s="9" t="inlineStr">
        <is>
          <t>출금</t>
        </is>
      </c>
      <c r="C135" s="28" t="n">
        <v>-115000</v>
      </c>
      <c r="D135" s="28" t="n">
        <v>414777</v>
      </c>
      <c r="E135" s="9" t="inlineStr">
        <is>
          <t>자동이체(기타)</t>
        </is>
      </c>
      <c r="F135" s="9" t="inlineStr">
        <is>
          <t>카카오페이</t>
        </is>
      </c>
      <c r="G135" s="140" t="inlineStr">
        <is>
          <t>3월 구장</t>
        </is>
      </c>
      <c r="H135" s="12" t="n">
        <v>45742</v>
      </c>
    </row>
    <row r="136">
      <c r="A136" s="29" t="inlineStr">
        <is>
          <t>2025.02.03 20:59:09</t>
        </is>
      </c>
      <c r="B136" s="76" t="inlineStr">
        <is>
          <t>입금</t>
        </is>
      </c>
      <c r="C136" s="26" t="n">
        <v>60000</v>
      </c>
      <c r="D136" s="26" t="n">
        <v>474777</v>
      </c>
      <c r="E136" s="76" t="inlineStr">
        <is>
          <t>일반입금</t>
        </is>
      </c>
      <c r="F136" s="76" t="inlineStr">
        <is>
          <t>심현우김하라</t>
        </is>
      </c>
      <c r="G136" s="76" t="inlineStr">
        <is>
          <t>2월 회비</t>
        </is>
      </c>
    </row>
    <row r="137">
      <c r="A137" s="29" t="inlineStr">
        <is>
          <t>2025.02.17 15:06:48</t>
        </is>
      </c>
      <c r="B137" s="76" t="inlineStr">
        <is>
          <t>입금</t>
        </is>
      </c>
      <c r="C137" s="26" t="n">
        <v>10000</v>
      </c>
      <c r="D137" s="26" t="n">
        <v>484777</v>
      </c>
      <c r="E137" s="76" t="inlineStr">
        <is>
          <t>일반입금</t>
        </is>
      </c>
      <c r="F137" s="76" t="inlineStr">
        <is>
          <t>홍순인</t>
        </is>
      </c>
      <c r="G137" s="76" t="inlineStr">
        <is>
          <t>3월 회비</t>
        </is>
      </c>
    </row>
    <row r="138">
      <c r="A138" s="29" t="inlineStr">
        <is>
          <t>2025.02.17 15:08:11</t>
        </is>
      </c>
      <c r="B138" s="76" t="inlineStr">
        <is>
          <t>입금</t>
        </is>
      </c>
      <c r="C138" s="26" t="n">
        <v>10000</v>
      </c>
      <c r="D138" s="26" t="n">
        <v>494777</v>
      </c>
      <c r="E138" s="76" t="inlineStr">
        <is>
          <t>일반입금</t>
        </is>
      </c>
      <c r="F138" s="76" t="inlineStr">
        <is>
          <t>원재식</t>
        </is>
      </c>
      <c r="G138" s="76" t="inlineStr">
        <is>
          <t>3월 회비</t>
        </is>
      </c>
    </row>
    <row r="139">
      <c r="A139" s="29" t="inlineStr">
        <is>
          <t>2025.02.17 15:15:40</t>
        </is>
      </c>
      <c r="B139" s="76" t="inlineStr">
        <is>
          <t>입금</t>
        </is>
      </c>
      <c r="C139" s="26" t="n">
        <v>30000</v>
      </c>
      <c r="D139" s="26" t="n">
        <v>524777</v>
      </c>
      <c r="E139" s="76" t="inlineStr">
        <is>
          <t>일반입금</t>
        </is>
      </c>
      <c r="F139" s="76" t="inlineStr">
        <is>
          <t>이민국</t>
        </is>
      </c>
      <c r="G139" s="76" t="inlineStr">
        <is>
          <t>3월 회비</t>
        </is>
      </c>
    </row>
    <row r="140">
      <c r="A140" s="29" t="inlineStr">
        <is>
          <t>2025.02.17 16:16:27</t>
        </is>
      </c>
      <c r="B140" s="76" t="inlineStr">
        <is>
          <t>입금</t>
        </is>
      </c>
      <c r="C140" s="26" t="n">
        <v>30000</v>
      </c>
      <c r="D140" s="26" t="n">
        <v>554777</v>
      </c>
      <c r="E140" s="76" t="inlineStr">
        <is>
          <t>일반입금</t>
        </is>
      </c>
      <c r="F140" s="76" t="inlineStr">
        <is>
          <t>박원주</t>
        </is>
      </c>
      <c r="G140" s="76" t="inlineStr">
        <is>
          <t>3월 회비</t>
        </is>
      </c>
    </row>
    <row r="141">
      <c r="A141" s="29" t="inlineStr">
        <is>
          <t>2025.02.19 19:57:20</t>
        </is>
      </c>
      <c r="B141" s="76" t="inlineStr">
        <is>
          <t>입금</t>
        </is>
      </c>
      <c r="C141" s="26" t="n">
        <v>20000</v>
      </c>
      <c r="D141" s="26" t="n">
        <v>574777</v>
      </c>
      <c r="E141" s="76" t="inlineStr">
        <is>
          <t>일반입금</t>
        </is>
      </c>
      <c r="F141" s="76" t="inlineStr">
        <is>
          <t>히범이연</t>
        </is>
      </c>
      <c r="G141" s="76" t="inlineStr">
        <is>
          <t>3월 회비</t>
        </is>
      </c>
    </row>
    <row r="142">
      <c r="A142" s="29" t="inlineStr">
        <is>
          <t>2025.02.20 00:49:12</t>
        </is>
      </c>
      <c r="B142" s="76" t="inlineStr">
        <is>
          <t>입금</t>
        </is>
      </c>
      <c r="C142" s="26" t="n">
        <v>15000</v>
      </c>
      <c r="D142" s="26" t="n">
        <v>589777</v>
      </c>
      <c r="E142" s="76" t="inlineStr">
        <is>
          <t>일반입금</t>
        </is>
      </c>
      <c r="F142" s="76" t="inlineStr">
        <is>
          <t>0219-하림게스트</t>
        </is>
      </c>
      <c r="G142" s="76" t="inlineStr">
        <is>
          <t>게스트</t>
        </is>
      </c>
    </row>
    <row r="143">
      <c r="A143" s="29" t="inlineStr">
        <is>
          <t>2025.02.20 10:15:23</t>
        </is>
      </c>
      <c r="B143" s="76" t="inlineStr">
        <is>
          <t>입금</t>
        </is>
      </c>
      <c r="C143" s="26" t="n">
        <v>30000</v>
      </c>
      <c r="D143" s="26" t="n">
        <v>619777</v>
      </c>
      <c r="E143" s="76" t="inlineStr">
        <is>
          <t>일반입금</t>
        </is>
      </c>
      <c r="F143" s="76" t="inlineStr">
        <is>
          <t>이일웅</t>
        </is>
      </c>
      <c r="G143" s="76" t="inlineStr">
        <is>
          <t>3월 회비</t>
        </is>
      </c>
    </row>
    <row r="144">
      <c r="A144" s="29" t="inlineStr">
        <is>
          <t>2025.02.20 11:55:21</t>
        </is>
      </c>
      <c r="B144" s="76" t="inlineStr">
        <is>
          <t>입금</t>
        </is>
      </c>
      <c r="C144" s="26" t="n">
        <v>30000</v>
      </c>
      <c r="D144" s="26" t="n">
        <v>649777</v>
      </c>
      <c r="E144" s="76" t="inlineStr">
        <is>
          <t>일반입금</t>
        </is>
      </c>
      <c r="F144" s="76" t="inlineStr">
        <is>
          <t>마상현3월</t>
        </is>
      </c>
      <c r="G144" s="76" t="inlineStr">
        <is>
          <t>3월 회비</t>
        </is>
      </c>
    </row>
    <row r="145">
      <c r="A145" s="29" t="inlineStr">
        <is>
          <t>2025.02.20 12:01:20</t>
        </is>
      </c>
      <c r="B145" s="76" t="inlineStr">
        <is>
          <t>입금</t>
        </is>
      </c>
      <c r="C145" s="26" t="n">
        <v>10000</v>
      </c>
      <c r="D145" s="26" t="n">
        <v>659777</v>
      </c>
      <c r="E145" s="76" t="inlineStr">
        <is>
          <t>일반입금</t>
        </is>
      </c>
      <c r="F145" s="76" t="inlineStr">
        <is>
          <t>최승호_3월</t>
        </is>
      </c>
      <c r="G145" s="76" t="inlineStr">
        <is>
          <t>3월 회비</t>
        </is>
      </c>
    </row>
    <row r="146">
      <c r="A146" s="29" t="inlineStr">
        <is>
          <t>2025.02.20 12:18:49</t>
        </is>
      </c>
      <c r="B146" s="76" t="inlineStr">
        <is>
          <t>입금</t>
        </is>
      </c>
      <c r="C146" s="26" t="n">
        <v>60000</v>
      </c>
      <c r="D146" s="26" t="n">
        <v>719777</v>
      </c>
      <c r="E146" s="76" t="inlineStr">
        <is>
          <t>일반입금</t>
        </is>
      </c>
      <c r="F146" s="76" t="inlineStr">
        <is>
          <t>민주동헌3월</t>
        </is>
      </c>
      <c r="G146" s="76" t="inlineStr">
        <is>
          <t>3월 회비</t>
        </is>
      </c>
    </row>
    <row r="147">
      <c r="A147" s="29" t="inlineStr">
        <is>
          <t>2025.02.20 13:07:11</t>
        </is>
      </c>
      <c r="B147" s="76" t="inlineStr">
        <is>
          <t>입금</t>
        </is>
      </c>
      <c r="C147" s="26" t="n">
        <v>30000</v>
      </c>
      <c r="D147" s="26" t="n">
        <v>749777</v>
      </c>
      <c r="E147" s="76" t="inlineStr">
        <is>
          <t>일반입금</t>
        </is>
      </c>
      <c r="F147" s="76" t="inlineStr">
        <is>
          <t>심지수</t>
        </is>
      </c>
      <c r="G147" s="76" t="inlineStr">
        <is>
          <t>3월 회비</t>
        </is>
      </c>
    </row>
    <row r="148">
      <c r="A148" s="29" t="inlineStr">
        <is>
          <t>2025.02.20 13:19:32</t>
        </is>
      </c>
      <c r="B148" s="76" t="inlineStr">
        <is>
          <t>입금</t>
        </is>
      </c>
      <c r="C148" s="26" t="n">
        <v>30000</v>
      </c>
      <c r="D148" s="26" t="n">
        <v>779777</v>
      </c>
      <c r="E148" s="76" t="inlineStr">
        <is>
          <t>일반입금</t>
        </is>
      </c>
      <c r="F148" s="76" t="inlineStr">
        <is>
          <t>3월 박우성</t>
        </is>
      </c>
      <c r="G148" s="76" t="inlineStr">
        <is>
          <t>3월 회비</t>
        </is>
      </c>
    </row>
    <row r="149">
      <c r="A149" s="29" t="inlineStr">
        <is>
          <t>2025.02.20 15:56:27</t>
        </is>
      </c>
      <c r="B149" s="76" t="inlineStr">
        <is>
          <t>입금</t>
        </is>
      </c>
      <c r="C149" s="26" t="n">
        <v>30000</v>
      </c>
      <c r="D149" s="26" t="n">
        <v>809777</v>
      </c>
      <c r="E149" s="76" t="inlineStr">
        <is>
          <t>일반입금</t>
        </is>
      </c>
      <c r="F149" s="76" t="inlineStr">
        <is>
          <t>김우경</t>
        </is>
      </c>
      <c r="G149" s="76" t="inlineStr">
        <is>
          <t>3월 회비</t>
        </is>
      </c>
    </row>
    <row r="150">
      <c r="A150" s="29" t="n">
        <v>45712</v>
      </c>
      <c r="B150" s="76" t="inlineStr">
        <is>
          <t>입금</t>
        </is>
      </c>
      <c r="C150" s="26" t="n">
        <v>30000</v>
      </c>
      <c r="D150" s="26">
        <f>D149+C150</f>
        <v/>
      </c>
      <c r="E150" s="76" t="inlineStr">
        <is>
          <t>일반입금</t>
        </is>
      </c>
      <c r="F150" s="76" t="inlineStr">
        <is>
          <t>손다희</t>
        </is>
      </c>
      <c r="G150" s="76" t="inlineStr">
        <is>
          <t>3월 회비</t>
        </is>
      </c>
    </row>
    <row r="151">
      <c r="A151" s="29" t="n">
        <v>45712</v>
      </c>
      <c r="B151" s="76" t="inlineStr">
        <is>
          <t>입금</t>
        </is>
      </c>
      <c r="C151" s="26" t="n">
        <v>30000</v>
      </c>
      <c r="D151" s="26">
        <f>D150+C151</f>
        <v/>
      </c>
      <c r="E151" s="76" t="inlineStr">
        <is>
          <t>일반입금</t>
        </is>
      </c>
      <c r="F151" s="76" t="inlineStr">
        <is>
          <t>임한</t>
        </is>
      </c>
      <c r="G151" s="76" t="inlineStr">
        <is>
          <t>3월 회비</t>
        </is>
      </c>
    </row>
    <row r="152">
      <c r="A152" s="29" t="n">
        <v>45712</v>
      </c>
      <c r="B152" s="76" t="inlineStr">
        <is>
          <t>입금</t>
        </is>
      </c>
      <c r="C152" s="26" t="n">
        <v>30000</v>
      </c>
      <c r="D152" s="26">
        <f>D151+C152</f>
        <v/>
      </c>
      <c r="E152" s="76" t="inlineStr">
        <is>
          <t>일반입금</t>
        </is>
      </c>
      <c r="F152" s="76" t="inlineStr">
        <is>
          <t>박지원</t>
        </is>
      </c>
      <c r="G152" s="76" t="inlineStr">
        <is>
          <t>3월 회비</t>
        </is>
      </c>
    </row>
    <row r="153">
      <c r="A153" s="29" t="n">
        <v>45714</v>
      </c>
      <c r="B153" s="76" t="inlineStr">
        <is>
          <t>입금</t>
        </is>
      </c>
      <c r="C153" s="26" t="n">
        <v>45000</v>
      </c>
      <c r="D153" s="26">
        <f>D152+C153</f>
        <v/>
      </c>
      <c r="E153" s="76" t="inlineStr">
        <is>
          <t>일반입금</t>
        </is>
      </c>
      <c r="F153" s="76" t="inlineStr">
        <is>
          <t>정하림+게스트</t>
        </is>
      </c>
      <c r="G153" s="76" t="inlineStr">
        <is>
          <t>3월회비+게스트</t>
        </is>
      </c>
    </row>
    <row r="154">
      <c r="A154" s="29" t="n">
        <v>45714</v>
      </c>
      <c r="B154" s="76" t="inlineStr">
        <is>
          <t>입금</t>
        </is>
      </c>
      <c r="C154" s="26" t="n">
        <v>15000</v>
      </c>
      <c r="D154" s="26">
        <f>D153+C154</f>
        <v/>
      </c>
      <c r="E154" s="76" t="inlineStr">
        <is>
          <t>일반입금</t>
        </is>
      </c>
      <c r="F154" s="76" t="inlineStr">
        <is>
          <t>우성게스트</t>
        </is>
      </c>
      <c r="G154" s="76" t="inlineStr">
        <is>
          <t>게스트</t>
        </is>
      </c>
    </row>
    <row r="155">
      <c r="A155" s="29" t="n">
        <v>45714</v>
      </c>
      <c r="B155" s="76" t="inlineStr">
        <is>
          <t>입금</t>
        </is>
      </c>
      <c r="C155" s="26" t="n">
        <v>15000</v>
      </c>
      <c r="D155" s="27">
        <f>D154+C155</f>
        <v/>
      </c>
      <c r="E155" s="76" t="inlineStr">
        <is>
          <t>일반입금</t>
        </is>
      </c>
      <c r="F155" s="76" t="inlineStr">
        <is>
          <t>승호게스트</t>
        </is>
      </c>
      <c r="G155" s="76" t="inlineStr">
        <is>
          <t>게스트</t>
        </is>
      </c>
    </row>
    <row r="156">
      <c r="A156" s="29" t="n"/>
      <c r="B156" s="14" t="inlineStr">
        <is>
          <t>이월금액</t>
        </is>
      </c>
      <c r="C156" s="27" t="n">
        <v>644777</v>
      </c>
    </row>
    <row r="157">
      <c r="A157" s="29" t="n"/>
      <c r="B157" s="14" t="inlineStr">
        <is>
          <t>2월 입금</t>
        </is>
      </c>
      <c r="C157" s="27" t="n">
        <v>560000</v>
      </c>
      <c r="D157" s="12" t="n"/>
      <c r="H157" s="12" t="n"/>
    </row>
    <row r="158">
      <c r="A158" s="29" t="n"/>
      <c r="B158" s="14" t="inlineStr">
        <is>
          <t>2월 출금</t>
        </is>
      </c>
      <c r="C158" s="27" t="n">
        <v>-230000</v>
      </c>
      <c r="D158" s="12" t="n"/>
      <c r="H158" s="12" t="n"/>
    </row>
    <row r="159">
      <c r="A159" s="29" t="n">
        <v>45717</v>
      </c>
      <c r="B159" s="76" t="inlineStr">
        <is>
          <t>입금</t>
        </is>
      </c>
      <c r="C159" s="26" t="n">
        <v>59</v>
      </c>
      <c r="D159" s="26">
        <f>D155+C159</f>
        <v/>
      </c>
      <c r="E159" s="76" t="inlineStr">
        <is>
          <t>일반입금</t>
        </is>
      </c>
      <c r="F159" s="76" t="inlineStr">
        <is>
          <t>입출금통장 이자</t>
        </is>
      </c>
      <c r="G159" s="76" t="inlineStr">
        <is>
          <t>기타</t>
        </is>
      </c>
    </row>
    <row r="160">
      <c r="A160" s="8" t="n">
        <v>45717</v>
      </c>
      <c r="B160" s="9" t="inlineStr">
        <is>
          <t>출금</t>
        </is>
      </c>
      <c r="C160" s="28" t="n">
        <v>-125000</v>
      </c>
      <c r="D160" s="28">
        <f>D159+C160</f>
        <v/>
      </c>
      <c r="E160" s="9" t="inlineStr">
        <is>
          <t>일반이체</t>
        </is>
      </c>
      <c r="F160" s="9" t="inlineStr">
        <is>
          <t>4월 2일 예약</t>
        </is>
      </c>
      <c r="G160" s="140" t="inlineStr">
        <is>
          <t>3월 구장</t>
        </is>
      </c>
      <c r="H160" s="12" t="n">
        <v>45728</v>
      </c>
    </row>
    <row r="161">
      <c r="A161" s="8" t="n">
        <v>45719</v>
      </c>
      <c r="B161" s="9" t="inlineStr">
        <is>
          <t>출금</t>
        </is>
      </c>
      <c r="C161" s="28" t="n">
        <v>-99000</v>
      </c>
      <c r="D161" s="28">
        <f>D160+C161</f>
        <v/>
      </c>
      <c r="E161" s="9" t="inlineStr">
        <is>
          <t>일반이체</t>
        </is>
      </c>
      <c r="F161" s="9" t="inlineStr">
        <is>
          <t>3월 12일 대관</t>
        </is>
      </c>
      <c r="G161" s="140" t="inlineStr">
        <is>
          <t>4월 구장</t>
        </is>
      </c>
      <c r="H161" s="12" t="n">
        <v>45749</v>
      </c>
    </row>
    <row r="162">
      <c r="A162" s="29" t="n">
        <v>45721</v>
      </c>
      <c r="B162" s="76" t="inlineStr">
        <is>
          <t>입금</t>
        </is>
      </c>
      <c r="C162" s="26" t="n">
        <v>15000</v>
      </c>
      <c r="D162" s="26">
        <f>D161+C162</f>
        <v/>
      </c>
      <c r="E162" s="76" t="inlineStr">
        <is>
          <t>일반입금</t>
        </is>
      </c>
      <c r="F162" s="76" t="inlineStr">
        <is>
          <t>최신비(지원게스트)</t>
        </is>
      </c>
      <c r="G162" s="76" t="inlineStr">
        <is>
          <t>게스트</t>
        </is>
      </c>
    </row>
    <row r="163">
      <c r="A163" s="29" t="n">
        <v>45721</v>
      </c>
      <c r="B163" s="76" t="inlineStr">
        <is>
          <t>입금</t>
        </is>
      </c>
      <c r="C163" s="26" t="n">
        <v>15000</v>
      </c>
      <c r="D163" s="26">
        <f>D162+C163</f>
        <v/>
      </c>
      <c r="E163" s="76" t="inlineStr">
        <is>
          <t>일반입금</t>
        </is>
      </c>
      <c r="F163" s="76" t="inlineStr">
        <is>
          <t>우성게스트</t>
        </is>
      </c>
      <c r="G163" s="76" t="inlineStr">
        <is>
          <t>게스트</t>
        </is>
      </c>
    </row>
    <row r="164">
      <c r="A164" s="29" t="n">
        <v>45725</v>
      </c>
      <c r="B164" s="76" t="inlineStr">
        <is>
          <t>입금</t>
        </is>
      </c>
      <c r="C164" s="26" t="n">
        <v>30000</v>
      </c>
      <c r="D164" s="26">
        <f>D163+C164</f>
        <v/>
      </c>
      <c r="E164" s="76" t="inlineStr">
        <is>
          <t>일반입금</t>
        </is>
      </c>
      <c r="F164" s="76" t="inlineStr">
        <is>
          <t>최신비</t>
        </is>
      </c>
      <c r="G164" s="76" t="inlineStr">
        <is>
          <t>3월 회비</t>
        </is>
      </c>
    </row>
    <row r="165">
      <c r="A165" s="29" t="n">
        <v>45728</v>
      </c>
      <c r="B165" s="76" t="inlineStr">
        <is>
          <t>입금</t>
        </is>
      </c>
      <c r="C165" s="26" t="n">
        <v>30000</v>
      </c>
      <c r="D165" s="26">
        <f>D164+C165</f>
        <v/>
      </c>
      <c r="E165" s="76" t="inlineStr">
        <is>
          <t>일반입금</t>
        </is>
      </c>
      <c r="F165" s="76" t="inlineStr">
        <is>
          <t>장세영</t>
        </is>
      </c>
      <c r="G165" s="76" t="inlineStr">
        <is>
          <t>3월 회비</t>
        </is>
      </c>
    </row>
    <row r="166">
      <c r="A166" s="29" t="n">
        <v>45729</v>
      </c>
      <c r="B166" s="76" t="inlineStr">
        <is>
          <t>입금</t>
        </is>
      </c>
      <c r="C166" s="26" t="n">
        <v>30000</v>
      </c>
      <c r="D166" s="26">
        <f>D165+C166</f>
        <v/>
      </c>
      <c r="E166" s="76" t="inlineStr">
        <is>
          <t>일반입금</t>
        </is>
      </c>
      <c r="F166" s="76" t="inlineStr">
        <is>
          <t>박광우</t>
        </is>
      </c>
      <c r="G166" s="76" t="inlineStr">
        <is>
          <t>3월 회비</t>
        </is>
      </c>
    </row>
    <row r="167">
      <c r="A167" s="29" t="n">
        <v>45733</v>
      </c>
      <c r="B167" s="76" t="inlineStr">
        <is>
          <t>입금</t>
        </is>
      </c>
      <c r="C167" s="26" t="n">
        <v>30000</v>
      </c>
      <c r="D167" s="26">
        <f>D166+C167</f>
        <v/>
      </c>
      <c r="E167" s="76" t="inlineStr">
        <is>
          <t>일반입금</t>
        </is>
      </c>
      <c r="F167" s="76" t="inlineStr">
        <is>
          <t>박원주</t>
        </is>
      </c>
      <c r="G167" s="76" t="inlineStr">
        <is>
          <t>4월 회비</t>
        </is>
      </c>
    </row>
    <row r="168">
      <c r="A168" s="29" t="n">
        <v>45733</v>
      </c>
      <c r="B168" s="76" t="inlineStr">
        <is>
          <t>입금</t>
        </is>
      </c>
      <c r="C168" s="26" t="n">
        <v>10000</v>
      </c>
      <c r="D168" s="26">
        <f>D167+C168</f>
        <v/>
      </c>
      <c r="E168" s="76" t="inlineStr">
        <is>
          <t>일반입금</t>
        </is>
      </c>
      <c r="F168" s="76" t="inlineStr">
        <is>
          <t>홍순인</t>
        </is>
      </c>
      <c r="G168" s="76" t="inlineStr">
        <is>
          <t>4월 회비</t>
        </is>
      </c>
    </row>
    <row r="169">
      <c r="A169" s="29" t="n">
        <v>45733</v>
      </c>
      <c r="B169" s="76" t="inlineStr">
        <is>
          <t>입금</t>
        </is>
      </c>
      <c r="C169" s="26" t="n">
        <v>10000</v>
      </c>
      <c r="D169" s="26">
        <f>D168+C169</f>
        <v/>
      </c>
      <c r="E169" s="76" t="inlineStr">
        <is>
          <t>일반입금</t>
        </is>
      </c>
      <c r="F169" s="76" t="inlineStr">
        <is>
          <t>최승호</t>
        </is>
      </c>
      <c r="G169" s="76" t="inlineStr">
        <is>
          <t>4월 회비</t>
        </is>
      </c>
    </row>
    <row r="170">
      <c r="A170" s="29" t="n">
        <v>45733</v>
      </c>
      <c r="B170" s="76" t="inlineStr">
        <is>
          <t>입금</t>
        </is>
      </c>
      <c r="C170" s="26" t="n">
        <v>1</v>
      </c>
      <c r="D170" s="26">
        <f>D169+C170</f>
        <v/>
      </c>
      <c r="E170" s="76" t="inlineStr">
        <is>
          <t>일반입금</t>
        </is>
      </c>
      <c r="F170" s="76" t="inlineStr">
        <is>
          <t>노란생수</t>
        </is>
      </c>
    </row>
    <row r="171">
      <c r="A171" s="8" t="n">
        <v>45733</v>
      </c>
      <c r="B171" s="9" t="inlineStr">
        <is>
          <t>출금</t>
        </is>
      </c>
      <c r="C171" s="28" t="n">
        <v>-31410</v>
      </c>
      <c r="D171" s="28">
        <f>D170+C171</f>
        <v/>
      </c>
      <c r="E171" s="9" t="inlineStr">
        <is>
          <t>자동이체</t>
        </is>
      </c>
      <c r="F171" s="9" t="inlineStr">
        <is>
          <t>쿠팡(접시콘/휘슬)</t>
        </is>
      </c>
      <c r="G171" s="9" t="inlineStr">
        <is>
          <t>소모품비</t>
        </is>
      </c>
    </row>
    <row r="172">
      <c r="A172" s="29" t="n">
        <v>45733</v>
      </c>
      <c r="B172" s="76" t="inlineStr">
        <is>
          <t>입금</t>
        </is>
      </c>
      <c r="C172" s="26" t="n">
        <v>60000</v>
      </c>
      <c r="D172" s="26">
        <f>D171+C172</f>
        <v/>
      </c>
      <c r="E172" s="76" t="inlineStr">
        <is>
          <t>일반입금</t>
        </is>
      </c>
      <c r="F172" s="76" t="inlineStr">
        <is>
          <t>민주동헌</t>
        </is>
      </c>
      <c r="G172" s="76" t="inlineStr">
        <is>
          <t>4월 회비</t>
        </is>
      </c>
    </row>
    <row r="173">
      <c r="A173" s="29" t="n">
        <v>45733</v>
      </c>
      <c r="B173" s="76" t="inlineStr">
        <is>
          <t>입금</t>
        </is>
      </c>
      <c r="C173" s="26" t="n">
        <v>30000</v>
      </c>
      <c r="D173" s="26">
        <f>D172+C173</f>
        <v/>
      </c>
      <c r="E173" s="76" t="inlineStr">
        <is>
          <t>일반입금</t>
        </is>
      </c>
      <c r="F173" s="76" t="inlineStr">
        <is>
          <t>김우경</t>
        </is>
      </c>
      <c r="G173" s="76" t="inlineStr">
        <is>
          <t>4월 회비</t>
        </is>
      </c>
    </row>
    <row r="174">
      <c r="A174" s="29" t="n">
        <v>45734</v>
      </c>
      <c r="B174" s="76" t="inlineStr">
        <is>
          <t>입금</t>
        </is>
      </c>
      <c r="C174" s="26" t="n">
        <v>30000</v>
      </c>
      <c r="D174" s="26">
        <f>D173+C174</f>
        <v/>
      </c>
      <c r="E174" s="76" t="inlineStr">
        <is>
          <t>일반입금</t>
        </is>
      </c>
      <c r="F174" s="76" t="inlineStr">
        <is>
          <t>마상현</t>
        </is>
      </c>
      <c r="G174" s="76" t="inlineStr">
        <is>
          <t>4월 회비</t>
        </is>
      </c>
    </row>
    <row r="175">
      <c r="A175" s="29" t="n">
        <v>45734</v>
      </c>
      <c r="B175" s="76" t="inlineStr">
        <is>
          <t>입금</t>
        </is>
      </c>
      <c r="C175" s="26" t="n">
        <v>10000</v>
      </c>
      <c r="D175" s="26">
        <f>D174+C175</f>
        <v/>
      </c>
      <c r="E175" s="76" t="inlineStr">
        <is>
          <t>일반입금</t>
        </is>
      </c>
      <c r="F175" s="76" t="inlineStr">
        <is>
          <t>원재식</t>
        </is>
      </c>
      <c r="G175" s="76" t="inlineStr">
        <is>
          <t>4월 회비</t>
        </is>
      </c>
    </row>
    <row r="176">
      <c r="A176" s="29" t="n">
        <v>45734</v>
      </c>
      <c r="B176" s="76" t="inlineStr">
        <is>
          <t>입금</t>
        </is>
      </c>
      <c r="C176" s="26" t="n">
        <v>30000</v>
      </c>
      <c r="D176" s="26">
        <f>D175+C176</f>
        <v/>
      </c>
      <c r="E176" s="76" t="inlineStr">
        <is>
          <t>일반입금</t>
        </is>
      </c>
      <c r="F176" s="76" t="inlineStr">
        <is>
          <t>장세영</t>
        </is>
      </c>
      <c r="G176" s="76" t="inlineStr">
        <is>
          <t>4월 회비</t>
        </is>
      </c>
    </row>
    <row r="177">
      <c r="A177" s="29" t="n">
        <v>45734</v>
      </c>
      <c r="B177" s="76" t="inlineStr">
        <is>
          <t>입금</t>
        </is>
      </c>
      <c r="C177" s="26" t="n">
        <v>30000</v>
      </c>
      <c r="D177" s="26">
        <f>D176+C177</f>
        <v/>
      </c>
      <c r="E177" s="76" t="inlineStr">
        <is>
          <t>일반입금</t>
        </is>
      </c>
      <c r="F177" s="76" t="inlineStr">
        <is>
          <t>심지수</t>
        </is>
      </c>
      <c r="G177" s="76" t="inlineStr">
        <is>
          <t>4월 회비</t>
        </is>
      </c>
    </row>
    <row r="178">
      <c r="A178" s="29" t="n">
        <v>45734</v>
      </c>
      <c r="B178" s="76" t="inlineStr">
        <is>
          <t>입금</t>
        </is>
      </c>
      <c r="C178" s="26" t="n">
        <v>30000</v>
      </c>
      <c r="D178" s="26">
        <f>D177+C178</f>
        <v/>
      </c>
      <c r="E178" s="76" t="inlineStr">
        <is>
          <t>일반입금</t>
        </is>
      </c>
      <c r="F178" s="76" t="inlineStr">
        <is>
          <t>박우성</t>
        </is>
      </c>
      <c r="G178" s="76" t="inlineStr">
        <is>
          <t>4월 회비</t>
        </is>
      </c>
    </row>
    <row r="179">
      <c r="A179" s="29" t="n">
        <v>45734</v>
      </c>
      <c r="B179" s="76" t="inlineStr">
        <is>
          <t>입금</t>
        </is>
      </c>
      <c r="C179" s="26" t="n">
        <v>30000</v>
      </c>
      <c r="D179" s="26">
        <f>D178+C179</f>
        <v/>
      </c>
      <c r="E179" s="76" t="inlineStr">
        <is>
          <t>일반입금</t>
        </is>
      </c>
      <c r="F179" s="76" t="inlineStr">
        <is>
          <t>박광우</t>
        </is>
      </c>
      <c r="G179" s="76" t="inlineStr">
        <is>
          <t>4월 회비</t>
        </is>
      </c>
    </row>
    <row r="180">
      <c r="A180" s="29" t="n">
        <v>45734</v>
      </c>
      <c r="B180" s="76" t="inlineStr">
        <is>
          <t>입금</t>
        </is>
      </c>
      <c r="C180" s="26" t="n">
        <v>15000</v>
      </c>
      <c r="D180" s="26">
        <f>D179+C180</f>
        <v/>
      </c>
      <c r="E180" s="76" t="inlineStr">
        <is>
          <t>일반입금</t>
        </is>
      </c>
      <c r="F180" s="76" t="inlineStr">
        <is>
          <t>재영 3월 게스트</t>
        </is>
      </c>
      <c r="G180" s="76" t="inlineStr">
        <is>
          <t>게스트</t>
        </is>
      </c>
    </row>
    <row r="181">
      <c r="A181" s="29" t="n">
        <v>45735</v>
      </c>
      <c r="B181" s="76" t="inlineStr">
        <is>
          <t>입금</t>
        </is>
      </c>
      <c r="C181" s="26" t="n">
        <v>20000</v>
      </c>
      <c r="D181" s="26">
        <f>D180+C181</f>
        <v/>
      </c>
      <c r="E181" s="76" t="inlineStr">
        <is>
          <t>일반입금</t>
        </is>
      </c>
      <c r="F181" s="76" t="inlineStr">
        <is>
          <t>이연히범</t>
        </is>
      </c>
      <c r="G181" s="76" t="inlineStr">
        <is>
          <t>4월 회비</t>
        </is>
      </c>
    </row>
    <row r="182">
      <c r="A182" s="29" t="n">
        <v>45735</v>
      </c>
      <c r="B182" s="76" t="inlineStr">
        <is>
          <t>입금</t>
        </is>
      </c>
      <c r="C182" s="26" t="n">
        <v>30000</v>
      </c>
      <c r="D182" s="26">
        <f>D181+C182</f>
        <v/>
      </c>
      <c r="E182" s="76" t="inlineStr">
        <is>
          <t>일반입금</t>
        </is>
      </c>
      <c r="F182" s="76" t="inlineStr">
        <is>
          <t>임한</t>
        </is>
      </c>
      <c r="G182" s="76" t="inlineStr">
        <is>
          <t>4월 회비</t>
        </is>
      </c>
    </row>
    <row r="183">
      <c r="A183" s="29" t="n">
        <v>45735</v>
      </c>
      <c r="B183" s="76" t="inlineStr">
        <is>
          <t>입금</t>
        </is>
      </c>
      <c r="C183" s="26" t="n">
        <v>30000</v>
      </c>
      <c r="D183" s="26">
        <f>D182+C183</f>
        <v/>
      </c>
      <c r="E183" s="76" t="inlineStr">
        <is>
          <t>일반입금</t>
        </is>
      </c>
      <c r="F183" s="76" t="inlineStr">
        <is>
          <t>하림</t>
        </is>
      </c>
      <c r="G183" s="76" t="inlineStr">
        <is>
          <t>4월 회비</t>
        </is>
      </c>
    </row>
    <row r="184">
      <c r="A184" s="29" t="n">
        <v>45735</v>
      </c>
      <c r="B184" s="76" t="inlineStr">
        <is>
          <t>입금</t>
        </is>
      </c>
      <c r="C184" s="26" t="n">
        <v>30000</v>
      </c>
      <c r="D184" s="26">
        <f>D183+C184</f>
        <v/>
      </c>
      <c r="E184" s="76" t="inlineStr">
        <is>
          <t>일반입금</t>
        </is>
      </c>
      <c r="F184" s="76" t="inlineStr">
        <is>
          <t>손다희</t>
        </is>
      </c>
      <c r="G184" s="76" t="inlineStr">
        <is>
          <t>4월 회비</t>
        </is>
      </c>
    </row>
    <row r="185">
      <c r="A185" s="29" t="n">
        <v>45736</v>
      </c>
      <c r="B185" s="76" t="inlineStr">
        <is>
          <t>입금</t>
        </is>
      </c>
      <c r="C185" s="26" t="n">
        <v>30000</v>
      </c>
      <c r="D185" s="26">
        <f>D184+C185</f>
        <v/>
      </c>
      <c r="E185" s="76" t="inlineStr">
        <is>
          <t>일반입금</t>
        </is>
      </c>
      <c r="F185" s="76" t="inlineStr">
        <is>
          <t>박지원</t>
        </is>
      </c>
      <c r="G185" s="76" t="inlineStr">
        <is>
          <t>4월 회비</t>
        </is>
      </c>
    </row>
    <row r="186">
      <c r="A186" s="29" t="n">
        <v>45736</v>
      </c>
      <c r="B186" s="76" t="inlineStr">
        <is>
          <t>입금</t>
        </is>
      </c>
      <c r="C186" s="26" t="n">
        <v>30000</v>
      </c>
      <c r="D186" s="26">
        <f>D185+C186</f>
        <v/>
      </c>
      <c r="E186" s="76" t="inlineStr">
        <is>
          <t>일반입금</t>
        </is>
      </c>
      <c r="F186" s="76" t="inlineStr">
        <is>
          <t>이일웅</t>
        </is>
      </c>
      <c r="G186" s="76" t="inlineStr">
        <is>
          <t>4월 회비</t>
        </is>
      </c>
    </row>
    <row r="187">
      <c r="A187" s="29" t="n">
        <v>45736</v>
      </c>
      <c r="B187" s="76" t="inlineStr">
        <is>
          <t>입금</t>
        </is>
      </c>
      <c r="C187" s="26" t="n">
        <v>15000</v>
      </c>
      <c r="D187" s="26">
        <f>D186+C187</f>
        <v/>
      </c>
      <c r="E187" s="76" t="inlineStr">
        <is>
          <t>일반입금</t>
        </is>
      </c>
      <c r="F187" s="76" t="inlineStr">
        <is>
          <t>게스트</t>
        </is>
      </c>
      <c r="G187" s="76" t="inlineStr">
        <is>
          <t>게스트</t>
        </is>
      </c>
    </row>
    <row r="188">
      <c r="A188" s="8" t="n">
        <v>45736</v>
      </c>
      <c r="B188" s="9" t="inlineStr">
        <is>
          <t>출금</t>
        </is>
      </c>
      <c r="C188" s="28" t="n">
        <v>-6000</v>
      </c>
      <c r="D188" s="28">
        <f>D187+C188</f>
        <v/>
      </c>
      <c r="E188" s="9" t="inlineStr">
        <is>
          <t>일반이체</t>
        </is>
      </c>
      <c r="F188" s="9" t="inlineStr">
        <is>
          <t>유니폼 샘플</t>
        </is>
      </c>
      <c r="G188" s="9" t="inlineStr">
        <is>
          <t>유니폼</t>
        </is>
      </c>
    </row>
    <row r="189">
      <c r="A189" s="29" t="n">
        <v>45739</v>
      </c>
      <c r="B189" s="76" t="inlineStr">
        <is>
          <t>입금</t>
        </is>
      </c>
      <c r="C189" s="26" t="n">
        <v>30000</v>
      </c>
      <c r="D189" s="26">
        <f>D188+C189</f>
        <v/>
      </c>
      <c r="E189" s="76" t="inlineStr">
        <is>
          <t>일반입금</t>
        </is>
      </c>
      <c r="F189" s="76" t="inlineStr">
        <is>
          <t>최신비</t>
        </is>
      </c>
      <c r="G189" s="76" t="inlineStr">
        <is>
          <t>4월 회비</t>
        </is>
      </c>
    </row>
    <row r="190">
      <c r="A190" s="29" t="n">
        <v>45740</v>
      </c>
      <c r="B190" s="76" t="inlineStr">
        <is>
          <t>입금</t>
        </is>
      </c>
      <c r="C190" s="26" t="n">
        <v>10000</v>
      </c>
      <c r="D190" s="26">
        <f>D189+C190</f>
        <v/>
      </c>
      <c r="E190" s="76" t="inlineStr">
        <is>
          <t>일반입금</t>
        </is>
      </c>
      <c r="F190" s="76" t="inlineStr">
        <is>
          <t>박승한</t>
        </is>
      </c>
      <c r="G190" s="76" t="inlineStr">
        <is>
          <t>4월 회비</t>
        </is>
      </c>
    </row>
    <row r="191">
      <c r="A191" s="29" t="n">
        <v>45741</v>
      </c>
      <c r="B191" s="76" t="inlineStr">
        <is>
          <t>입금</t>
        </is>
      </c>
      <c r="C191" s="26" t="n">
        <v>30000</v>
      </c>
      <c r="D191" s="26">
        <f>D190+C191</f>
        <v/>
      </c>
      <c r="E191" s="76" t="inlineStr">
        <is>
          <t>일반입금</t>
        </is>
      </c>
      <c r="F191" s="76" t="inlineStr">
        <is>
          <t>안재영</t>
        </is>
      </c>
      <c r="G191" s="76" t="inlineStr">
        <is>
          <t>4월 회비</t>
        </is>
      </c>
    </row>
    <row r="192">
      <c r="A192" s="29" t="n">
        <v>45742</v>
      </c>
      <c r="B192" s="76" t="inlineStr">
        <is>
          <t>입금</t>
        </is>
      </c>
      <c r="C192" s="26" t="n">
        <v>30000</v>
      </c>
      <c r="D192" s="26">
        <f>D191+C192</f>
        <v/>
      </c>
      <c r="E192" s="76" t="inlineStr">
        <is>
          <t>일반입금</t>
        </is>
      </c>
      <c r="F192" s="76" t="inlineStr">
        <is>
          <t>박원주게스트 2명</t>
        </is>
      </c>
      <c r="G192" s="76" t="inlineStr">
        <is>
          <t>게스트</t>
        </is>
      </c>
      <c r="H192" s="76" t="inlineStr">
        <is>
          <t>3/26 게스트</t>
        </is>
      </c>
    </row>
    <row r="193">
      <c r="A193" s="29" t="n">
        <v>45742</v>
      </c>
      <c r="B193" s="76" t="inlineStr">
        <is>
          <t>입금</t>
        </is>
      </c>
      <c r="C193" s="26" t="n">
        <v>15000</v>
      </c>
      <c r="D193" s="26">
        <f>D192+C193</f>
        <v/>
      </c>
      <c r="E193" s="76" t="inlineStr">
        <is>
          <t>일반입금</t>
        </is>
      </c>
      <c r="F193" s="76" t="inlineStr">
        <is>
          <t>김두은(이연 게스트)</t>
        </is>
      </c>
      <c r="G193" s="76" t="inlineStr">
        <is>
          <t>게스트</t>
        </is>
      </c>
      <c r="H193" s="76" t="inlineStr">
        <is>
          <t>3/26 게스트</t>
        </is>
      </c>
    </row>
    <row r="194">
      <c r="A194" s="8" t="n">
        <v>45742</v>
      </c>
      <c r="B194" s="9" t="inlineStr">
        <is>
          <t>출금</t>
        </is>
      </c>
      <c r="C194" s="28" t="n">
        <v>-534000</v>
      </c>
      <c r="D194" s="28">
        <f>D193+C194</f>
        <v/>
      </c>
      <c r="E194" s="9" t="inlineStr">
        <is>
          <t>일반이체</t>
        </is>
      </c>
      <c r="F194" s="9" t="inlineStr">
        <is>
          <t>4월 구장 예약</t>
        </is>
      </c>
      <c r="G194" s="9" t="inlineStr">
        <is>
          <t>4월 구장</t>
        </is>
      </c>
      <c r="H194" s="76" t="inlineStr">
        <is>
          <t>4월 9/16/23/30일</t>
        </is>
      </c>
      <c r="I194" s="76" t="inlineStr">
        <is>
          <t>20-23시(3시간)</t>
        </is>
      </c>
    </row>
    <row r="195">
      <c r="A195" s="29" t="n">
        <v>45742</v>
      </c>
      <c r="B195" s="76" t="inlineStr">
        <is>
          <t>입금</t>
        </is>
      </c>
      <c r="C195" s="26" t="n">
        <v>30000</v>
      </c>
      <c r="D195" s="26">
        <f>D194+C195</f>
        <v/>
      </c>
      <c r="E195" s="76" t="inlineStr">
        <is>
          <t>일반입금</t>
        </is>
      </c>
      <c r="F195" s="76" t="inlineStr">
        <is>
          <t>김균원</t>
        </is>
      </c>
      <c r="G195" s="76" t="inlineStr">
        <is>
          <t>4월 회비</t>
        </is>
      </c>
    </row>
    <row r="196">
      <c r="A196" s="29" t="n">
        <v>45742</v>
      </c>
      <c r="B196" s="76" t="inlineStr">
        <is>
          <t>입금</t>
        </is>
      </c>
      <c r="C196" s="26" t="n">
        <v>15000</v>
      </c>
      <c r="D196" s="26">
        <f>D195+C196</f>
        <v/>
      </c>
      <c r="E196" s="76" t="inlineStr">
        <is>
          <t>일반입금</t>
        </is>
      </c>
      <c r="F196" s="76" t="inlineStr">
        <is>
          <t>박지원게스트</t>
        </is>
      </c>
      <c r="G196" s="76" t="inlineStr">
        <is>
          <t>게스트</t>
        </is>
      </c>
      <c r="H196" s="76" t="inlineStr">
        <is>
          <t>3/26 게스트</t>
        </is>
      </c>
    </row>
    <row r="197">
      <c r="A197" s="29" t="n">
        <v>45743</v>
      </c>
      <c r="B197" s="76" t="inlineStr">
        <is>
          <t>입금</t>
        </is>
      </c>
      <c r="C197" s="26" t="n">
        <v>30000</v>
      </c>
      <c r="D197" s="26">
        <f>D196+C197</f>
        <v/>
      </c>
      <c r="E197" s="76" t="inlineStr">
        <is>
          <t>일반입금</t>
        </is>
      </c>
      <c r="F197" s="76" t="inlineStr">
        <is>
          <t>김두은</t>
        </is>
      </c>
      <c r="G197" s="76" t="inlineStr">
        <is>
          <t>4월 회비</t>
        </is>
      </c>
    </row>
    <row r="198">
      <c r="A198" s="29" t="n">
        <v>45745</v>
      </c>
      <c r="B198" s="76" t="inlineStr">
        <is>
          <t>입금</t>
        </is>
      </c>
      <c r="C198" s="26" t="n">
        <v>65</v>
      </c>
      <c r="D198" s="27">
        <f>D197+C198</f>
        <v/>
      </c>
      <c r="E198" s="76" t="inlineStr">
        <is>
          <t>일반입금</t>
        </is>
      </c>
      <c r="F198" s="76" t="inlineStr">
        <is>
          <t>입출금통장이자</t>
        </is>
      </c>
      <c r="G198" s="76" t="inlineStr">
        <is>
          <t>기타</t>
        </is>
      </c>
    </row>
    <row r="199">
      <c r="A199" s="29" t="n"/>
      <c r="B199" s="14" t="inlineStr">
        <is>
          <t>이월금액</t>
        </is>
      </c>
      <c r="C199" s="27" t="n">
        <v>974777</v>
      </c>
    </row>
    <row r="200">
      <c r="A200" s="29" t="n"/>
      <c r="B200" s="14" t="inlineStr">
        <is>
          <t>3월 입금</t>
        </is>
      </c>
      <c r="C200" s="27" t="n">
        <v>810125</v>
      </c>
    </row>
    <row r="201">
      <c r="A201" s="29" t="n"/>
      <c r="B201" s="14" t="inlineStr">
        <is>
          <t>3월 출금</t>
        </is>
      </c>
      <c r="C201" s="27" t="n">
        <v>-795410</v>
      </c>
    </row>
    <row r="202">
      <c r="A202" s="8" t="n">
        <v>45749</v>
      </c>
      <c r="B202" s="9" t="inlineStr">
        <is>
          <t>출금</t>
        </is>
      </c>
      <c r="C202" s="28" t="n">
        <v>-534000</v>
      </c>
      <c r="D202" s="30">
        <f>D198+C202</f>
        <v/>
      </c>
      <c r="E202" s="9" t="inlineStr">
        <is>
          <t>일반이체</t>
        </is>
      </c>
      <c r="F202" s="9" t="inlineStr">
        <is>
          <t>5월 구장 예약</t>
        </is>
      </c>
      <c r="G202" s="9" t="inlineStr">
        <is>
          <t>5월 구장</t>
        </is>
      </c>
      <c r="H202" s="76" t="inlineStr">
        <is>
          <t>5월 전체</t>
        </is>
      </c>
      <c r="I202" s="76" t="inlineStr">
        <is>
          <t>20-23시(3시간)</t>
        </is>
      </c>
    </row>
    <row r="203">
      <c r="A203" s="29" t="n">
        <v>45750</v>
      </c>
      <c r="B203" s="76" t="inlineStr">
        <is>
          <t>입금</t>
        </is>
      </c>
      <c r="C203" s="26" t="n">
        <v>15000</v>
      </c>
      <c r="D203" s="26">
        <f>D202+C203</f>
        <v/>
      </c>
      <c r="E203" s="76" t="inlineStr">
        <is>
          <t>일반입금</t>
        </is>
      </c>
      <c r="F203" s="76" t="inlineStr">
        <is>
          <t>최승호게스트</t>
        </is>
      </c>
      <c r="G203" s="76" t="inlineStr">
        <is>
          <t>게스트</t>
        </is>
      </c>
      <c r="H203" s="76" t="inlineStr">
        <is>
          <t>4/2 게스트</t>
        </is>
      </c>
    </row>
    <row r="204">
      <c r="A204" s="29" t="n">
        <v>45756</v>
      </c>
      <c r="B204" s="76" t="inlineStr">
        <is>
          <t>입금</t>
        </is>
      </c>
      <c r="C204" s="26" t="n">
        <v>60000</v>
      </c>
      <c r="D204" s="26">
        <f>D203+C204</f>
        <v/>
      </c>
      <c r="E204" s="76" t="inlineStr">
        <is>
          <t>일반입금</t>
        </is>
      </c>
      <c r="F204" s="76" t="inlineStr">
        <is>
          <t>박민규배성은</t>
        </is>
      </c>
      <c r="G204" s="76" t="inlineStr">
        <is>
          <t>4월 회비</t>
        </is>
      </c>
    </row>
    <row r="205">
      <c r="A205" s="29" t="n">
        <v>45757</v>
      </c>
      <c r="B205" s="76" t="inlineStr">
        <is>
          <t>입금</t>
        </is>
      </c>
      <c r="C205" s="26" t="n">
        <v>30000</v>
      </c>
      <c r="D205" s="26">
        <f>D204+C205</f>
        <v/>
      </c>
      <c r="E205" s="76" t="inlineStr">
        <is>
          <t>일반입금</t>
        </is>
      </c>
      <c r="F205" s="76" t="inlineStr">
        <is>
          <t>박혜란</t>
        </is>
      </c>
      <c r="G205" s="76" t="inlineStr">
        <is>
          <t>4월 회비</t>
        </is>
      </c>
    </row>
    <row r="206">
      <c r="A206" s="29" t="n">
        <v>45759</v>
      </c>
      <c r="B206" s="76" t="inlineStr">
        <is>
          <t>입금</t>
        </is>
      </c>
      <c r="C206" s="26" t="n">
        <v>15000</v>
      </c>
      <c r="D206" s="26">
        <f>D205+C206</f>
        <v/>
      </c>
      <c r="E206" s="76" t="inlineStr">
        <is>
          <t>일반입금</t>
        </is>
      </c>
      <c r="F206" s="76" t="inlineStr">
        <is>
          <t>최승호게스트</t>
        </is>
      </c>
      <c r="G206" s="76" t="inlineStr">
        <is>
          <t>게스트</t>
        </is>
      </c>
      <c r="H206" s="76" t="inlineStr">
        <is>
          <t>4/9 게스트</t>
        </is>
      </c>
    </row>
    <row r="207">
      <c r="A207" s="29" t="n">
        <v>45768</v>
      </c>
      <c r="B207" s="76" t="inlineStr">
        <is>
          <t>입금</t>
        </is>
      </c>
      <c r="C207" s="26" t="n">
        <v>30000</v>
      </c>
      <c r="D207" s="26">
        <f>D206+C207</f>
        <v/>
      </c>
      <c r="E207" s="76" t="inlineStr">
        <is>
          <t>일반입금</t>
        </is>
      </c>
      <c r="F207" s="76" t="inlineStr">
        <is>
          <t>심지수</t>
        </is>
      </c>
      <c r="G207" s="76" t="inlineStr">
        <is>
          <t>5월 회비</t>
        </is>
      </c>
    </row>
    <row r="208">
      <c r="A208" s="29" t="n">
        <v>45768</v>
      </c>
      <c r="B208" s="76" t="inlineStr">
        <is>
          <t>입금</t>
        </is>
      </c>
      <c r="C208" s="26" t="n">
        <v>15000</v>
      </c>
      <c r="D208" s="26">
        <f>D207+C208</f>
        <v/>
      </c>
      <c r="E208" s="76" t="inlineStr">
        <is>
          <t>일반입금</t>
        </is>
      </c>
      <c r="F208" s="76" t="inlineStr">
        <is>
          <t>최승호게스트</t>
        </is>
      </c>
      <c r="G208" s="76" t="inlineStr">
        <is>
          <t>게스트</t>
        </is>
      </c>
      <c r="H208" s="76" t="inlineStr">
        <is>
          <t>4/23 게스트</t>
        </is>
      </c>
    </row>
    <row r="209">
      <c r="A209" s="29" t="n">
        <v>45770</v>
      </c>
      <c r="B209" s="76" t="inlineStr">
        <is>
          <t>입금</t>
        </is>
      </c>
      <c r="C209" s="26" t="n">
        <v>20000</v>
      </c>
      <c r="D209" s="26">
        <f>D208+C209</f>
        <v/>
      </c>
      <c r="E209" s="76" t="inlineStr">
        <is>
          <t>일반입금</t>
        </is>
      </c>
      <c r="F209" s="76" t="inlineStr">
        <is>
          <t>이연희범</t>
        </is>
      </c>
      <c r="G209" s="76" t="inlineStr">
        <is>
          <t>5월 회비</t>
        </is>
      </c>
    </row>
    <row r="210">
      <c r="A210" s="29" t="n">
        <v>45771</v>
      </c>
      <c r="B210" s="76" t="inlineStr">
        <is>
          <t>입금</t>
        </is>
      </c>
      <c r="C210" s="26" t="n">
        <v>10000</v>
      </c>
      <c r="D210" s="26">
        <f>D209+C210</f>
        <v/>
      </c>
      <c r="E210" s="76" t="inlineStr">
        <is>
          <t>일반입금</t>
        </is>
      </c>
      <c r="F210" s="76" t="inlineStr">
        <is>
          <t>최승호</t>
        </is>
      </c>
      <c r="G210" s="76" t="inlineStr">
        <is>
          <t>5월 회비</t>
        </is>
      </c>
    </row>
    <row r="211">
      <c r="A211" s="29" t="n">
        <v>45771</v>
      </c>
      <c r="B211" s="76" t="inlineStr">
        <is>
          <t>입금</t>
        </is>
      </c>
      <c r="C211" s="26" t="n">
        <v>30000</v>
      </c>
      <c r="D211" s="26">
        <f>D210+C211</f>
        <v/>
      </c>
      <c r="E211" s="76" t="inlineStr">
        <is>
          <t>일반입금</t>
        </is>
      </c>
      <c r="F211" s="76" t="inlineStr">
        <is>
          <t>최승호게스트2명</t>
        </is>
      </c>
      <c r="G211" s="76" t="inlineStr">
        <is>
          <t>게스트</t>
        </is>
      </c>
      <c r="H211" s="76" t="inlineStr">
        <is>
          <t>4/23 게스트</t>
        </is>
      </c>
    </row>
    <row r="212">
      <c r="A212" s="29" t="n">
        <v>45771</v>
      </c>
      <c r="B212" s="76" t="inlineStr">
        <is>
          <t>입금</t>
        </is>
      </c>
      <c r="C212" s="26" t="n">
        <v>30000</v>
      </c>
      <c r="D212" s="26">
        <f>D211+C212</f>
        <v/>
      </c>
      <c r="E212" s="76" t="inlineStr">
        <is>
          <t>일반입금</t>
        </is>
      </c>
      <c r="F212" s="76" t="inlineStr">
        <is>
          <t>김우경</t>
        </is>
      </c>
      <c r="G212" s="76" t="inlineStr">
        <is>
          <t>5월 회비</t>
        </is>
      </c>
    </row>
    <row r="213">
      <c r="A213" s="29" t="n">
        <v>45771</v>
      </c>
      <c r="B213" s="76" t="inlineStr">
        <is>
          <t>입금</t>
        </is>
      </c>
      <c r="C213" s="26" t="n">
        <v>60000</v>
      </c>
      <c r="D213" s="26">
        <f>D212+C213</f>
        <v/>
      </c>
      <c r="E213" s="76" t="inlineStr">
        <is>
          <t>일반입금</t>
        </is>
      </c>
      <c r="F213" s="76" t="inlineStr">
        <is>
          <t>민주동헌</t>
        </is>
      </c>
      <c r="G213" s="76" t="inlineStr">
        <is>
          <t>5월 회비</t>
        </is>
      </c>
    </row>
    <row r="214">
      <c r="A214" s="29" t="n">
        <v>45771</v>
      </c>
      <c r="B214" s="76" t="inlineStr">
        <is>
          <t>입금</t>
        </is>
      </c>
      <c r="C214" s="26" t="n">
        <v>30000</v>
      </c>
      <c r="D214" s="26">
        <f>D213+C214</f>
        <v/>
      </c>
      <c r="E214" s="76" t="inlineStr">
        <is>
          <t>일반입금</t>
        </is>
      </c>
      <c r="F214" s="76" t="inlineStr">
        <is>
          <t>박혜란</t>
        </is>
      </c>
      <c r="G214" s="76" t="inlineStr">
        <is>
          <t>5월 회비</t>
        </is>
      </c>
    </row>
    <row r="215">
      <c r="A215" s="29" t="n">
        <v>45771</v>
      </c>
      <c r="B215" s="76" t="inlineStr">
        <is>
          <t>입금</t>
        </is>
      </c>
      <c r="C215" s="26" t="n">
        <v>30000</v>
      </c>
      <c r="D215" s="26">
        <f>D214+C215</f>
        <v/>
      </c>
      <c r="E215" s="76" t="inlineStr">
        <is>
          <t>일반입금</t>
        </is>
      </c>
      <c r="F215" s="76" t="inlineStr">
        <is>
          <t>박지원</t>
        </is>
      </c>
      <c r="G215" s="76" t="inlineStr">
        <is>
          <t>5월 회비</t>
        </is>
      </c>
    </row>
    <row r="216">
      <c r="A216" s="29" t="n">
        <v>45771</v>
      </c>
      <c r="B216" s="76" t="inlineStr">
        <is>
          <t>입금</t>
        </is>
      </c>
      <c r="C216" s="26" t="n">
        <v>30000</v>
      </c>
      <c r="D216" s="26">
        <f>D215+C216</f>
        <v/>
      </c>
      <c r="E216" s="76" t="inlineStr">
        <is>
          <t>일반입금</t>
        </is>
      </c>
      <c r="F216" s="76" t="inlineStr">
        <is>
          <t>김두은</t>
        </is>
      </c>
      <c r="G216" s="76" t="inlineStr">
        <is>
          <t>5월 회비</t>
        </is>
      </c>
    </row>
    <row r="217">
      <c r="A217" s="29" t="n">
        <v>45771</v>
      </c>
      <c r="B217" s="76" t="inlineStr">
        <is>
          <t>입금</t>
        </is>
      </c>
      <c r="C217" s="26" t="n">
        <v>30000</v>
      </c>
      <c r="D217" s="26">
        <f>D216+C217</f>
        <v/>
      </c>
      <c r="E217" s="76" t="inlineStr">
        <is>
          <t>일반입금</t>
        </is>
      </c>
      <c r="F217" s="76" t="inlineStr">
        <is>
          <t>이민국</t>
        </is>
      </c>
      <c r="G217" s="76" t="inlineStr">
        <is>
          <t>5월 회비</t>
        </is>
      </c>
    </row>
    <row r="218">
      <c r="A218" s="29" t="n">
        <v>45771</v>
      </c>
      <c r="B218" s="76" t="inlineStr">
        <is>
          <t>입금</t>
        </is>
      </c>
      <c r="C218" s="26" t="n">
        <v>10000</v>
      </c>
      <c r="D218" s="26">
        <f>D217+C218</f>
        <v/>
      </c>
      <c r="E218" s="76" t="inlineStr">
        <is>
          <t>일반입금</t>
        </is>
      </c>
      <c r="F218" s="76" t="inlineStr">
        <is>
          <t>홍순인</t>
        </is>
      </c>
      <c r="G218" s="76" t="inlineStr">
        <is>
          <t>5월 회비</t>
        </is>
      </c>
    </row>
    <row r="219">
      <c r="A219" s="29" t="n">
        <v>45771</v>
      </c>
      <c r="B219" s="76" t="inlineStr">
        <is>
          <t>입금</t>
        </is>
      </c>
      <c r="C219" s="26" t="n">
        <v>30000</v>
      </c>
      <c r="D219" s="26">
        <f>D218+C219</f>
        <v/>
      </c>
      <c r="E219" s="76" t="inlineStr">
        <is>
          <t>일반입금</t>
        </is>
      </c>
      <c r="F219" s="76" t="inlineStr">
        <is>
          <t>정하림</t>
        </is>
      </c>
      <c r="G219" s="76" t="inlineStr">
        <is>
          <t>5월 회비</t>
        </is>
      </c>
    </row>
    <row r="220">
      <c r="A220" s="29" t="n">
        <v>45771</v>
      </c>
      <c r="B220" s="76" t="inlineStr">
        <is>
          <t>입금</t>
        </is>
      </c>
      <c r="C220" s="26" t="n">
        <v>30000</v>
      </c>
      <c r="D220" s="26">
        <f>D219+C220</f>
        <v/>
      </c>
      <c r="E220" s="76" t="inlineStr">
        <is>
          <t>일반입금</t>
        </is>
      </c>
      <c r="F220" s="76" t="inlineStr">
        <is>
          <t>최신비</t>
        </is>
      </c>
      <c r="G220" s="76" t="inlineStr">
        <is>
          <t>5월 회비</t>
        </is>
      </c>
    </row>
    <row r="221">
      <c r="A221" s="29" t="n">
        <v>45771</v>
      </c>
      <c r="B221" s="76" t="inlineStr">
        <is>
          <t>입금</t>
        </is>
      </c>
      <c r="C221" s="26" t="n">
        <v>30000</v>
      </c>
      <c r="D221" s="26">
        <f>D220+C221</f>
        <v/>
      </c>
      <c r="E221" s="76" t="inlineStr">
        <is>
          <t>일반입금</t>
        </is>
      </c>
      <c r="F221" s="76" t="inlineStr">
        <is>
          <t>마상현</t>
        </is>
      </c>
      <c r="G221" s="76" t="inlineStr">
        <is>
          <t>5월 회비</t>
        </is>
      </c>
    </row>
    <row r="222">
      <c r="A222" s="29" t="n">
        <v>45771</v>
      </c>
      <c r="B222" s="76" t="inlineStr">
        <is>
          <t>입금</t>
        </is>
      </c>
      <c r="C222" s="26" t="n">
        <v>30000</v>
      </c>
      <c r="D222" s="26">
        <f>D221+C222</f>
        <v/>
      </c>
      <c r="E222" s="76" t="inlineStr">
        <is>
          <t>일반입금</t>
        </is>
      </c>
      <c r="F222" s="76" t="inlineStr">
        <is>
          <t>박원주</t>
        </is>
      </c>
      <c r="G222" s="76" t="inlineStr">
        <is>
          <t>5월 회비</t>
        </is>
      </c>
    </row>
    <row r="223">
      <c r="A223" s="29" t="n">
        <v>45771</v>
      </c>
      <c r="B223" s="76" t="inlineStr">
        <is>
          <t>입금</t>
        </is>
      </c>
      <c r="C223" s="26" t="n">
        <v>30000</v>
      </c>
      <c r="D223" s="26">
        <f>D222+C223</f>
        <v/>
      </c>
      <c r="E223" s="76" t="inlineStr">
        <is>
          <t>일반입금</t>
        </is>
      </c>
      <c r="F223" s="76" t="inlineStr">
        <is>
          <t>안재영</t>
        </is>
      </c>
      <c r="G223" s="76" t="inlineStr">
        <is>
          <t>5월 회비</t>
        </is>
      </c>
    </row>
    <row r="224">
      <c r="A224" s="29" t="n">
        <v>45773</v>
      </c>
      <c r="B224" s="76" t="inlineStr">
        <is>
          <t>입금</t>
        </is>
      </c>
      <c r="C224" s="26" t="n">
        <v>49</v>
      </c>
      <c r="D224" s="26">
        <f>D223+C224</f>
        <v/>
      </c>
      <c r="E224" s="76" t="inlineStr">
        <is>
          <t>일반입금</t>
        </is>
      </c>
      <c r="F224" s="76" t="inlineStr">
        <is>
          <t>입출금통장이자</t>
        </is>
      </c>
      <c r="G224" s="76" t="inlineStr">
        <is>
          <t>기타</t>
        </is>
      </c>
    </row>
    <row r="225">
      <c r="A225" s="29" t="n">
        <v>45775</v>
      </c>
      <c r="B225" s="76" t="inlineStr">
        <is>
          <t>입금</t>
        </is>
      </c>
      <c r="C225" s="26" t="n">
        <v>10000</v>
      </c>
      <c r="D225" s="26">
        <f>D224+C225</f>
        <v/>
      </c>
      <c r="E225" s="76" t="inlineStr">
        <is>
          <t>일반입금</t>
        </is>
      </c>
      <c r="F225" s="76" t="inlineStr">
        <is>
          <t>원재식</t>
        </is>
      </c>
      <c r="G225" s="76" t="inlineStr">
        <is>
          <t>5월 회비</t>
        </is>
      </c>
    </row>
    <row r="226">
      <c r="A226" s="29" t="n">
        <v>45775</v>
      </c>
      <c r="B226" s="76" t="inlineStr">
        <is>
          <t>입금</t>
        </is>
      </c>
      <c r="C226" s="26" t="n">
        <v>30000</v>
      </c>
      <c r="D226" s="26">
        <f>D225+C226</f>
        <v/>
      </c>
      <c r="E226" s="76" t="inlineStr">
        <is>
          <t>일반입금</t>
        </is>
      </c>
      <c r="F226" s="76" t="inlineStr">
        <is>
          <t>손다희</t>
        </is>
      </c>
      <c r="G226" s="76" t="inlineStr">
        <is>
          <t>5월 회비</t>
        </is>
      </c>
    </row>
    <row r="227">
      <c r="A227" s="29" t="n">
        <v>45776</v>
      </c>
      <c r="B227" s="76" t="inlineStr">
        <is>
          <t>입금</t>
        </is>
      </c>
      <c r="C227" s="26" t="n">
        <v>30000</v>
      </c>
      <c r="D227" s="27">
        <f>D226+C227</f>
        <v/>
      </c>
      <c r="E227" s="76" t="inlineStr">
        <is>
          <t>일반입금</t>
        </is>
      </c>
      <c r="F227" s="76" t="inlineStr">
        <is>
          <t>장세영</t>
        </is>
      </c>
      <c r="G227" s="76" t="inlineStr">
        <is>
          <t>5월 회비</t>
        </is>
      </c>
    </row>
    <row r="228">
      <c r="A228" s="29" t="n"/>
      <c r="B228" s="14" t="inlineStr">
        <is>
          <t>이월금액</t>
        </is>
      </c>
      <c r="C228" s="27" t="n">
        <v>989492</v>
      </c>
    </row>
    <row r="229">
      <c r="A229" s="29" t="n"/>
      <c r="B229" s="14" t="inlineStr">
        <is>
          <t>4월 입금</t>
        </is>
      </c>
      <c r="C229" s="27" t="n">
        <v>665049</v>
      </c>
    </row>
    <row r="230">
      <c r="A230" s="29" t="n"/>
      <c r="B230" s="14" t="inlineStr">
        <is>
          <t>4월 출금</t>
        </is>
      </c>
      <c r="C230" s="27" t="n">
        <v>-534000</v>
      </c>
    </row>
    <row r="231">
      <c r="A231" s="29" t="n">
        <v>45778</v>
      </c>
      <c r="B231" s="76" t="inlineStr">
        <is>
          <t>입금</t>
        </is>
      </c>
      <c r="C231" s="26" t="n">
        <v>15000</v>
      </c>
      <c r="D231" s="31">
        <f>D227+C231</f>
        <v/>
      </c>
      <c r="E231" s="76" t="inlineStr">
        <is>
          <t>일반입금</t>
        </is>
      </c>
      <c r="F231" s="76" t="inlineStr">
        <is>
          <t>박우성게스트</t>
        </is>
      </c>
      <c r="G231" s="76" t="inlineStr">
        <is>
          <t>게스트</t>
        </is>
      </c>
      <c r="H231" s="76" t="inlineStr">
        <is>
          <t>4/30 게스트</t>
        </is>
      </c>
    </row>
    <row r="232">
      <c r="A232" s="29" t="n">
        <v>45782</v>
      </c>
      <c r="B232" s="76" t="inlineStr">
        <is>
          <t>입금</t>
        </is>
      </c>
      <c r="C232" s="26" t="n">
        <v>30000</v>
      </c>
      <c r="D232" s="31">
        <f>D231+C232</f>
        <v/>
      </c>
      <c r="E232" s="76" t="inlineStr">
        <is>
          <t>일반입금</t>
        </is>
      </c>
      <c r="F232" s="76" t="inlineStr">
        <is>
          <t>이인선</t>
        </is>
      </c>
      <c r="G232" s="76" t="inlineStr">
        <is>
          <t>5월 회비</t>
        </is>
      </c>
    </row>
    <row r="233">
      <c r="A233" s="29" t="n">
        <v>45782</v>
      </c>
      <c r="B233" s="76" t="inlineStr">
        <is>
          <t>입금</t>
        </is>
      </c>
      <c r="C233" s="26" t="n">
        <v>30000</v>
      </c>
      <c r="D233" s="31">
        <f>D232+C233</f>
        <v/>
      </c>
      <c r="E233" s="76" t="inlineStr">
        <is>
          <t>일반입금</t>
        </is>
      </c>
      <c r="F233" s="76" t="inlineStr">
        <is>
          <t>임한</t>
        </is>
      </c>
      <c r="G233" s="76" t="inlineStr">
        <is>
          <t>5월 회비</t>
        </is>
      </c>
    </row>
    <row r="234">
      <c r="A234" s="29" t="n">
        <v>45782</v>
      </c>
      <c r="B234" s="76" t="inlineStr">
        <is>
          <t>입금</t>
        </is>
      </c>
      <c r="C234" s="26" t="n">
        <v>30000</v>
      </c>
      <c r="D234" s="31">
        <f>D233+C234</f>
        <v/>
      </c>
      <c r="E234" s="76" t="inlineStr">
        <is>
          <t>일반입금</t>
        </is>
      </c>
      <c r="F234" s="76" t="inlineStr">
        <is>
          <t>임한게스트2인</t>
        </is>
      </c>
      <c r="G234" s="76" t="inlineStr">
        <is>
          <t>게스트</t>
        </is>
      </c>
    </row>
    <row r="235">
      <c r="A235" s="8" t="n">
        <v>45785</v>
      </c>
      <c r="B235" s="9" t="inlineStr">
        <is>
          <t>출금</t>
        </is>
      </c>
      <c r="C235" s="28" t="n">
        <v>-133000</v>
      </c>
      <c r="D235" s="28">
        <f>D234+C235</f>
        <v/>
      </c>
      <c r="E235" s="9" t="inlineStr">
        <is>
          <t>일반이체</t>
        </is>
      </c>
      <c r="F235" s="9" t="inlineStr">
        <is>
          <t>팀 조끼 제작</t>
        </is>
      </c>
      <c r="G235" s="9" t="inlineStr">
        <is>
          <t>팀 조끼 제작</t>
        </is>
      </c>
    </row>
    <row r="236">
      <c r="A236" s="8" t="n">
        <v>45785</v>
      </c>
      <c r="B236" s="9" t="inlineStr">
        <is>
          <t>출금</t>
        </is>
      </c>
      <c r="C236" s="28" t="n">
        <v>-616000</v>
      </c>
      <c r="D236" s="28">
        <f>D235+C236</f>
        <v/>
      </c>
      <c r="E236" s="9" t="inlineStr">
        <is>
          <t>일반이체</t>
        </is>
      </c>
      <c r="F236" s="9" t="inlineStr">
        <is>
          <t>6월 구장 예약</t>
        </is>
      </c>
      <c r="G236" s="9" t="inlineStr">
        <is>
          <t>6월 구장</t>
        </is>
      </c>
      <c r="H236" s="76" t="inlineStr">
        <is>
          <t>5월 전체</t>
        </is>
      </c>
    </row>
    <row r="237">
      <c r="A237" s="29" t="n">
        <v>45785</v>
      </c>
      <c r="B237" s="76" t="inlineStr">
        <is>
          <t>입금</t>
        </is>
      </c>
      <c r="C237" s="26" t="n">
        <v>30000</v>
      </c>
      <c r="D237" s="31">
        <f>D236+C237</f>
        <v/>
      </c>
      <c r="E237" s="76" t="inlineStr">
        <is>
          <t>일반입금</t>
        </is>
      </c>
      <c r="F237" s="76" t="inlineStr">
        <is>
          <t>표승철</t>
        </is>
      </c>
      <c r="G237" s="76" t="inlineStr">
        <is>
          <t>5월 회비</t>
        </is>
      </c>
    </row>
    <row r="238">
      <c r="A238" s="29" t="n">
        <v>45796</v>
      </c>
      <c r="B238" s="76" t="inlineStr">
        <is>
          <t>입금</t>
        </is>
      </c>
      <c r="C238" s="26" t="n">
        <v>15000</v>
      </c>
      <c r="D238" s="31">
        <f>D237+C238</f>
        <v/>
      </c>
      <c r="E238" s="76" t="inlineStr">
        <is>
          <t>일반입금</t>
        </is>
      </c>
      <c r="F238" s="76" t="inlineStr">
        <is>
          <t>정하림게스트</t>
        </is>
      </c>
      <c r="G238" s="76" t="inlineStr">
        <is>
          <t>게스트</t>
        </is>
      </c>
      <c r="H238" s="76" t="inlineStr">
        <is>
          <t>5/7 게스트</t>
        </is>
      </c>
    </row>
    <row r="239">
      <c r="A239" s="29" t="n">
        <v>45796</v>
      </c>
      <c r="B239" s="76" t="inlineStr">
        <is>
          <t>입금</t>
        </is>
      </c>
      <c r="C239" s="26" t="n">
        <v>30000</v>
      </c>
      <c r="D239" s="31">
        <f>D238+C239</f>
        <v/>
      </c>
      <c r="E239" s="76" t="inlineStr">
        <is>
          <t>일반입금</t>
        </is>
      </c>
      <c r="F239" s="76" t="inlineStr">
        <is>
          <t>정하림</t>
        </is>
      </c>
      <c r="G239" s="76" t="inlineStr">
        <is>
          <t>6월 회비</t>
        </is>
      </c>
    </row>
    <row r="240">
      <c r="A240" s="29" t="n">
        <v>45796</v>
      </c>
      <c r="B240" s="76" t="inlineStr">
        <is>
          <t>입금</t>
        </is>
      </c>
      <c r="C240" s="26" t="n">
        <v>10000</v>
      </c>
      <c r="D240" s="31">
        <f>D239+C240</f>
        <v/>
      </c>
      <c r="E240" s="76" t="inlineStr">
        <is>
          <t>일반입금</t>
        </is>
      </c>
      <c r="F240" s="76" t="inlineStr">
        <is>
          <t>원재식</t>
        </is>
      </c>
      <c r="G240" s="76" t="inlineStr">
        <is>
          <t>6월 회비</t>
        </is>
      </c>
    </row>
    <row r="241">
      <c r="A241" s="29" t="n">
        <v>45796</v>
      </c>
      <c r="B241" s="76" t="inlineStr">
        <is>
          <t>입금</t>
        </is>
      </c>
      <c r="C241" s="26" t="n">
        <v>10000</v>
      </c>
      <c r="D241" s="31">
        <f>D240+C241</f>
        <v/>
      </c>
      <c r="E241" s="76" t="inlineStr">
        <is>
          <t>일반입금</t>
        </is>
      </c>
      <c r="F241" s="76" t="inlineStr">
        <is>
          <t>최승호</t>
        </is>
      </c>
      <c r="G241" s="76" t="inlineStr">
        <is>
          <t>6월 회비</t>
        </is>
      </c>
    </row>
    <row r="242">
      <c r="A242" s="29" t="n">
        <v>45796</v>
      </c>
      <c r="B242" s="76" t="inlineStr">
        <is>
          <t>입금</t>
        </is>
      </c>
      <c r="C242" s="26" t="n">
        <v>60000</v>
      </c>
      <c r="D242" s="31">
        <f>D241+C242</f>
        <v/>
      </c>
      <c r="E242" s="76" t="inlineStr">
        <is>
          <t>일반입금</t>
        </is>
      </c>
      <c r="F242" s="76" t="inlineStr">
        <is>
          <t>박민규</t>
        </is>
      </c>
      <c r="G242" s="76" t="inlineStr">
        <is>
          <t>5,6월 회비</t>
        </is>
      </c>
    </row>
    <row r="243">
      <c r="A243" s="29" t="n">
        <v>45796</v>
      </c>
      <c r="B243" s="76" t="inlineStr">
        <is>
          <t>입금</t>
        </is>
      </c>
      <c r="C243" s="26" t="n">
        <v>60000</v>
      </c>
      <c r="D243" s="31">
        <f>D242+C243</f>
        <v/>
      </c>
      <c r="E243" s="76" t="inlineStr">
        <is>
          <t>일반입금</t>
        </is>
      </c>
      <c r="F243" s="76" t="inlineStr">
        <is>
          <t>배성은</t>
        </is>
      </c>
      <c r="G243" s="76" t="inlineStr">
        <is>
          <t>5,6월 회비</t>
        </is>
      </c>
    </row>
    <row r="244">
      <c r="A244" s="29" t="n">
        <v>45796</v>
      </c>
      <c r="B244" s="76" t="inlineStr">
        <is>
          <t>입금</t>
        </is>
      </c>
      <c r="C244" s="26" t="n">
        <v>30000</v>
      </c>
      <c r="D244" s="31">
        <f>D243+C244</f>
        <v/>
      </c>
      <c r="E244" s="76" t="inlineStr">
        <is>
          <t>일반입금</t>
        </is>
      </c>
      <c r="F244" s="76" t="inlineStr">
        <is>
          <t>박원주</t>
        </is>
      </c>
      <c r="G244" s="76" t="inlineStr">
        <is>
          <t>6월 회비</t>
        </is>
      </c>
    </row>
    <row r="245">
      <c r="A245" s="29" t="n">
        <v>45796</v>
      </c>
      <c r="B245" s="76" t="inlineStr">
        <is>
          <t>입금</t>
        </is>
      </c>
      <c r="C245" s="26" t="n">
        <v>30000</v>
      </c>
      <c r="D245" s="31">
        <f>D244+C245</f>
        <v/>
      </c>
      <c r="E245" s="76" t="inlineStr">
        <is>
          <t>일반입금</t>
        </is>
      </c>
      <c r="F245" s="76" t="inlineStr">
        <is>
          <t>김두은</t>
        </is>
      </c>
      <c r="G245" s="76" t="inlineStr">
        <is>
          <t>6월 회비</t>
        </is>
      </c>
    </row>
    <row r="246">
      <c r="A246" s="29" t="n">
        <v>45796</v>
      </c>
      <c r="B246" s="76" t="inlineStr">
        <is>
          <t>입금</t>
        </is>
      </c>
      <c r="C246" s="26" t="n">
        <v>20000</v>
      </c>
      <c r="D246" s="31">
        <f>D245+C246</f>
        <v/>
      </c>
      <c r="E246" s="76" t="inlineStr">
        <is>
          <t>일반입금</t>
        </is>
      </c>
      <c r="F246" s="76" t="inlineStr">
        <is>
          <t>희범이연</t>
        </is>
      </c>
      <c r="G246" s="76" t="inlineStr">
        <is>
          <t>6월 회비</t>
        </is>
      </c>
    </row>
    <row r="247">
      <c r="A247" s="29" t="n">
        <v>45796</v>
      </c>
      <c r="B247" s="76" t="inlineStr">
        <is>
          <t>입금</t>
        </is>
      </c>
      <c r="C247" s="26" t="n">
        <v>30000</v>
      </c>
      <c r="D247" s="31">
        <f>D246+C247</f>
        <v/>
      </c>
      <c r="E247" s="76" t="inlineStr">
        <is>
          <t>일반입금</t>
        </is>
      </c>
      <c r="F247" s="76" t="inlineStr">
        <is>
          <t>박혜란</t>
        </is>
      </c>
      <c r="G247" s="76" t="inlineStr">
        <is>
          <t>6월 회비</t>
        </is>
      </c>
    </row>
    <row r="248">
      <c r="A248" s="29" t="n">
        <v>45797</v>
      </c>
      <c r="B248" s="76" t="inlineStr">
        <is>
          <t>입금</t>
        </is>
      </c>
      <c r="C248" s="26" t="n">
        <v>60000</v>
      </c>
      <c r="D248" s="31">
        <f>D247+C248</f>
        <v/>
      </c>
      <c r="E248" s="76" t="inlineStr">
        <is>
          <t>일반입금</t>
        </is>
      </c>
      <c r="F248" s="76" t="inlineStr">
        <is>
          <t>민주동헌</t>
        </is>
      </c>
      <c r="G248" s="76" t="inlineStr">
        <is>
          <t>6월 회비</t>
        </is>
      </c>
    </row>
    <row r="249">
      <c r="A249" s="29" t="n">
        <v>45797</v>
      </c>
      <c r="B249" s="76" t="inlineStr">
        <is>
          <t>입금</t>
        </is>
      </c>
      <c r="C249" s="26" t="n">
        <v>30000</v>
      </c>
      <c r="D249" s="31">
        <f>D248+C249</f>
        <v/>
      </c>
      <c r="E249" s="76" t="inlineStr">
        <is>
          <t>일반입금</t>
        </is>
      </c>
      <c r="F249" s="76" t="inlineStr">
        <is>
          <t>심지수</t>
        </is>
      </c>
      <c r="G249" s="76" t="inlineStr">
        <is>
          <t>6월 회비</t>
        </is>
      </c>
    </row>
    <row r="250">
      <c r="A250" s="29" t="n">
        <v>45797</v>
      </c>
      <c r="B250" s="76" t="inlineStr">
        <is>
          <t>입금</t>
        </is>
      </c>
      <c r="C250" s="26" t="n">
        <v>10000</v>
      </c>
      <c r="D250" s="31">
        <f>D249+C250</f>
        <v/>
      </c>
      <c r="E250" s="76" t="inlineStr">
        <is>
          <t>일반입금</t>
        </is>
      </c>
      <c r="F250" s="76" t="inlineStr">
        <is>
          <t>박승한</t>
        </is>
      </c>
      <c r="G250" s="76" t="inlineStr">
        <is>
          <t>5월 회비</t>
        </is>
      </c>
    </row>
    <row r="251">
      <c r="A251" s="29" t="n">
        <v>45797</v>
      </c>
      <c r="B251" s="76" t="inlineStr">
        <is>
          <t>입금</t>
        </is>
      </c>
      <c r="C251" s="26" t="n">
        <v>10000</v>
      </c>
      <c r="D251" s="31">
        <f>D250+C251</f>
        <v/>
      </c>
      <c r="E251" s="76" t="inlineStr">
        <is>
          <t>일반입금</t>
        </is>
      </c>
      <c r="F251" s="76" t="inlineStr">
        <is>
          <t>박승한</t>
        </is>
      </c>
      <c r="G251" s="76" t="inlineStr">
        <is>
          <t>6월 회비</t>
        </is>
      </c>
    </row>
    <row r="252">
      <c r="A252" s="29" t="n">
        <v>45797</v>
      </c>
      <c r="B252" s="76" t="inlineStr">
        <is>
          <t>입금</t>
        </is>
      </c>
      <c r="C252" s="26" t="n">
        <v>30000</v>
      </c>
      <c r="D252" s="31">
        <f>D251+C252</f>
        <v/>
      </c>
      <c r="E252" s="76" t="inlineStr">
        <is>
          <t>일반입금</t>
        </is>
      </c>
      <c r="F252" s="76" t="inlineStr">
        <is>
          <t>이민국</t>
        </is>
      </c>
      <c r="G252" s="76" t="inlineStr">
        <is>
          <t>6월 회비</t>
        </is>
      </c>
    </row>
    <row r="253">
      <c r="A253" s="29" t="n">
        <v>45797</v>
      </c>
      <c r="B253" s="76" t="inlineStr">
        <is>
          <t>입금</t>
        </is>
      </c>
      <c r="C253" s="26" t="n">
        <v>30000</v>
      </c>
      <c r="D253" s="31">
        <f>D252+C253</f>
        <v/>
      </c>
      <c r="E253" s="76" t="inlineStr">
        <is>
          <t>일반입금</t>
        </is>
      </c>
      <c r="F253" s="76" t="inlineStr">
        <is>
          <t>마상현</t>
        </is>
      </c>
      <c r="G253" s="76" t="inlineStr">
        <is>
          <t>6월 회비</t>
        </is>
      </c>
    </row>
    <row r="254">
      <c r="A254" s="29" t="n">
        <v>45797</v>
      </c>
      <c r="B254" s="76" t="inlineStr">
        <is>
          <t>입금</t>
        </is>
      </c>
      <c r="C254" s="26" t="n">
        <v>30000</v>
      </c>
      <c r="D254" s="31">
        <f>D253+C254</f>
        <v/>
      </c>
      <c r="E254" s="76" t="inlineStr">
        <is>
          <t>일반입금</t>
        </is>
      </c>
      <c r="F254" s="76" t="inlineStr">
        <is>
          <t>임한</t>
        </is>
      </c>
      <c r="G254" s="76" t="inlineStr">
        <is>
          <t>6월 회비</t>
        </is>
      </c>
    </row>
    <row r="255">
      <c r="A255" s="29" t="n">
        <v>45797</v>
      </c>
      <c r="B255" s="76" t="inlineStr">
        <is>
          <t>입금</t>
        </is>
      </c>
      <c r="C255" s="26" t="n">
        <v>30000</v>
      </c>
      <c r="D255" s="31">
        <f>D254+C255</f>
        <v/>
      </c>
      <c r="E255" s="76" t="inlineStr">
        <is>
          <t>일반입금</t>
        </is>
      </c>
      <c r="F255" s="76" t="inlineStr">
        <is>
          <t>이인선</t>
        </is>
      </c>
      <c r="G255" s="76" t="inlineStr">
        <is>
          <t>6월 회비</t>
        </is>
      </c>
    </row>
    <row r="256">
      <c r="A256" s="29" t="n">
        <v>45800</v>
      </c>
      <c r="B256" s="76" t="inlineStr">
        <is>
          <t>입금</t>
        </is>
      </c>
      <c r="C256" s="26" t="n">
        <v>30000</v>
      </c>
      <c r="D256" s="31">
        <f>D255+C256</f>
        <v/>
      </c>
      <c r="E256" s="76" t="inlineStr">
        <is>
          <t>일반입금</t>
        </is>
      </c>
      <c r="F256" s="76" t="inlineStr">
        <is>
          <t>안재영</t>
        </is>
      </c>
      <c r="G256" s="76" t="inlineStr">
        <is>
          <t>6월 회비</t>
        </is>
      </c>
    </row>
    <row r="257">
      <c r="A257" s="29" t="n">
        <v>45801</v>
      </c>
      <c r="B257" s="76" t="inlineStr">
        <is>
          <t>입금</t>
        </is>
      </c>
      <c r="C257" s="26" t="n">
        <v>66</v>
      </c>
      <c r="D257" s="31">
        <f>D256+C257</f>
        <v/>
      </c>
      <c r="E257" s="76" t="inlineStr">
        <is>
          <t>일반입금</t>
        </is>
      </c>
      <c r="F257" s="76" t="inlineStr">
        <is>
          <t>입출금통장이자</t>
        </is>
      </c>
      <c r="G257" s="76" t="inlineStr">
        <is>
          <t>기타</t>
        </is>
      </c>
    </row>
    <row r="258">
      <c r="A258" s="29" t="n">
        <v>45803</v>
      </c>
      <c r="B258" s="76" t="inlineStr">
        <is>
          <t>입금</t>
        </is>
      </c>
      <c r="C258" s="26" t="n">
        <v>15000</v>
      </c>
      <c r="D258" s="31">
        <f>D257+C258</f>
        <v/>
      </c>
      <c r="E258" s="76" t="inlineStr">
        <is>
          <t>일반입금</t>
        </is>
      </c>
      <c r="F258" s="76" t="inlineStr">
        <is>
          <t>박승한게스트</t>
        </is>
      </c>
      <c r="G258" s="76" t="inlineStr">
        <is>
          <t>게스트</t>
        </is>
      </c>
      <c r="H258" s="76" t="inlineStr">
        <is>
          <t>5/21 게스트</t>
        </is>
      </c>
    </row>
    <row r="259">
      <c r="A259" s="29" t="n">
        <v>45804</v>
      </c>
      <c r="B259" s="76" t="inlineStr">
        <is>
          <t>입금</t>
        </is>
      </c>
      <c r="C259" s="26" t="n">
        <v>30000</v>
      </c>
      <c r="D259" s="31">
        <f>D258+C259</f>
        <v/>
      </c>
      <c r="E259" s="76" t="inlineStr">
        <is>
          <t>일반입금</t>
        </is>
      </c>
      <c r="F259" s="76" t="inlineStr">
        <is>
          <t>표승철</t>
        </is>
      </c>
      <c r="G259" s="76" t="inlineStr">
        <is>
          <t>6월 회비</t>
        </is>
      </c>
    </row>
    <row r="260">
      <c r="A260" s="29" t="n">
        <v>45804</v>
      </c>
      <c r="B260" s="76" t="inlineStr">
        <is>
          <t>입금</t>
        </is>
      </c>
      <c r="C260" s="26" t="n">
        <v>30000</v>
      </c>
      <c r="D260" s="31">
        <f>D259+C260</f>
        <v/>
      </c>
      <c r="E260" s="76" t="inlineStr">
        <is>
          <t>일반입금</t>
        </is>
      </c>
      <c r="F260" s="76" t="inlineStr">
        <is>
          <t>김우경</t>
        </is>
      </c>
      <c r="G260" s="76" t="inlineStr">
        <is>
          <t>6월 회비</t>
        </is>
      </c>
    </row>
    <row r="261">
      <c r="A261" s="29" t="n">
        <v>45804</v>
      </c>
      <c r="B261" s="76" t="inlineStr">
        <is>
          <t>입금</t>
        </is>
      </c>
      <c r="C261" s="26" t="n">
        <v>30000</v>
      </c>
      <c r="D261" s="31">
        <f>D260+C261</f>
        <v/>
      </c>
      <c r="E261" s="76" t="inlineStr">
        <is>
          <t>일반입금</t>
        </is>
      </c>
      <c r="F261" s="76" t="inlineStr">
        <is>
          <t>장세영</t>
        </is>
      </c>
      <c r="G261" s="76" t="inlineStr">
        <is>
          <t>6월 회비</t>
        </is>
      </c>
    </row>
    <row r="262">
      <c r="A262" s="29" t="n">
        <v>45805</v>
      </c>
      <c r="B262" s="76" t="inlineStr">
        <is>
          <t>입금</t>
        </is>
      </c>
      <c r="C262" s="26" t="n">
        <v>21500</v>
      </c>
      <c r="D262" s="31">
        <f>D261+C262</f>
        <v/>
      </c>
      <c r="E262" s="76" t="inlineStr">
        <is>
          <t>일반입금</t>
        </is>
      </c>
      <c r="F262" s="76" t="inlineStr">
        <is>
          <t>박혜란</t>
        </is>
      </c>
      <c r="G262" s="76" t="inlineStr">
        <is>
          <t>유니폼</t>
        </is>
      </c>
    </row>
    <row r="263">
      <c r="A263" s="29" t="n">
        <v>45805</v>
      </c>
      <c r="B263" s="76" t="inlineStr">
        <is>
          <t>입금</t>
        </is>
      </c>
      <c r="C263" s="26" t="n">
        <v>21500</v>
      </c>
      <c r="D263" s="31">
        <f>D262+C263</f>
        <v/>
      </c>
      <c r="E263" s="76" t="inlineStr">
        <is>
          <t>일반입금</t>
        </is>
      </c>
      <c r="F263" s="76" t="inlineStr">
        <is>
          <t>김두은</t>
        </is>
      </c>
      <c r="G263" s="76" t="inlineStr">
        <is>
          <t>유니폼</t>
        </is>
      </c>
    </row>
    <row r="264">
      <c r="A264" s="29" t="n">
        <v>45805</v>
      </c>
      <c r="B264" s="76" t="inlineStr">
        <is>
          <t>입금</t>
        </is>
      </c>
      <c r="C264" s="26" t="n">
        <v>43000</v>
      </c>
      <c r="D264" s="31">
        <f>D263+C264</f>
        <v/>
      </c>
      <c r="E264" s="76" t="inlineStr">
        <is>
          <t>일반입금</t>
        </is>
      </c>
      <c r="F264" s="76" t="inlineStr">
        <is>
          <t>민주 동헌</t>
        </is>
      </c>
      <c r="G264" s="76" t="inlineStr">
        <is>
          <t>유니폼</t>
        </is>
      </c>
    </row>
    <row r="265">
      <c r="A265" s="29" t="n">
        <v>45805</v>
      </c>
      <c r="B265" s="76" t="inlineStr">
        <is>
          <t>입금</t>
        </is>
      </c>
      <c r="C265" s="26" t="n">
        <v>21500</v>
      </c>
      <c r="D265" s="31">
        <f>D264+C265</f>
        <v/>
      </c>
      <c r="E265" s="76" t="inlineStr">
        <is>
          <t>일반입금</t>
        </is>
      </c>
      <c r="F265" s="76" t="inlineStr">
        <is>
          <t>박승한</t>
        </is>
      </c>
      <c r="G265" s="76" t="inlineStr">
        <is>
          <t>유니폼</t>
        </is>
      </c>
    </row>
    <row r="266">
      <c r="A266" s="29" t="n">
        <v>45805</v>
      </c>
      <c r="B266" s="76" t="inlineStr">
        <is>
          <t>입금</t>
        </is>
      </c>
      <c r="C266" s="26" t="n">
        <v>51000</v>
      </c>
      <c r="D266" s="31">
        <f>D265+C266</f>
        <v/>
      </c>
      <c r="E266" s="76" t="inlineStr">
        <is>
          <t>일반입금</t>
        </is>
      </c>
      <c r="F266" s="76" t="inlineStr">
        <is>
          <t>박승한 지인</t>
        </is>
      </c>
      <c r="G266" s="76" t="inlineStr">
        <is>
          <t>유니폼</t>
        </is>
      </c>
    </row>
    <row r="267">
      <c r="A267" s="29" t="n">
        <v>45805</v>
      </c>
      <c r="B267" s="76" t="inlineStr">
        <is>
          <t>입금</t>
        </is>
      </c>
      <c r="C267" s="26" t="n">
        <v>500</v>
      </c>
      <c r="D267" s="31">
        <f>D266+C267</f>
        <v/>
      </c>
      <c r="E267" s="76" t="inlineStr">
        <is>
          <t>일반입금</t>
        </is>
      </c>
      <c r="F267" s="76" t="inlineStr">
        <is>
          <t>박승한 지인</t>
        </is>
      </c>
      <c r="G267" s="76" t="inlineStr">
        <is>
          <t>유니폼</t>
        </is>
      </c>
    </row>
    <row r="268">
      <c r="A268" s="29" t="n">
        <v>45805</v>
      </c>
      <c r="B268" s="76" t="inlineStr">
        <is>
          <t>입금</t>
        </is>
      </c>
      <c r="C268" s="26" t="n">
        <v>21500</v>
      </c>
      <c r="D268" s="31">
        <f>D267+C268</f>
        <v/>
      </c>
      <c r="E268" s="76" t="inlineStr">
        <is>
          <t>일반입금</t>
        </is>
      </c>
      <c r="F268" s="76" t="inlineStr">
        <is>
          <t>신비</t>
        </is>
      </c>
      <c r="G268" s="76" t="inlineStr">
        <is>
          <t>유니폼</t>
        </is>
      </c>
    </row>
    <row r="269">
      <c r="A269" s="29" t="n">
        <v>45805</v>
      </c>
      <c r="B269" s="76" t="inlineStr">
        <is>
          <t>입금</t>
        </is>
      </c>
      <c r="C269" s="26" t="n">
        <v>21500</v>
      </c>
      <c r="D269" s="31">
        <f>D268+C269</f>
        <v/>
      </c>
      <c r="E269" s="76" t="inlineStr">
        <is>
          <t>일반입금</t>
        </is>
      </c>
      <c r="F269" s="76" t="inlineStr">
        <is>
          <t>심지수</t>
        </is>
      </c>
      <c r="G269" s="76" t="inlineStr">
        <is>
          <t>유니폼</t>
        </is>
      </c>
    </row>
    <row r="270">
      <c r="A270" s="29" t="n">
        <v>45805</v>
      </c>
      <c r="B270" s="76" t="inlineStr">
        <is>
          <t>입금</t>
        </is>
      </c>
      <c r="C270" s="26" t="n">
        <v>21500</v>
      </c>
      <c r="D270" s="31">
        <f>D269+C270</f>
        <v/>
      </c>
      <c r="E270" s="76" t="inlineStr">
        <is>
          <t>일반입금</t>
        </is>
      </c>
      <c r="F270" s="76" t="inlineStr">
        <is>
          <t>안재영</t>
        </is>
      </c>
      <c r="G270" s="76" t="inlineStr">
        <is>
          <t>유니폼</t>
        </is>
      </c>
    </row>
    <row r="271">
      <c r="A271" s="29" t="n">
        <v>45805</v>
      </c>
      <c r="B271" s="76" t="inlineStr">
        <is>
          <t>입금</t>
        </is>
      </c>
      <c r="C271" s="26" t="n">
        <v>73000</v>
      </c>
      <c r="D271" s="31">
        <f>D270+C271</f>
        <v/>
      </c>
      <c r="E271" s="76" t="inlineStr">
        <is>
          <t>일반입금</t>
        </is>
      </c>
      <c r="F271" s="76" t="inlineStr">
        <is>
          <t>최승호/최승호 지인</t>
        </is>
      </c>
      <c r="G271" s="76" t="inlineStr">
        <is>
          <t>유니폼</t>
        </is>
      </c>
    </row>
    <row r="272">
      <c r="A272" s="8" t="n">
        <v>45805</v>
      </c>
      <c r="B272" s="9" t="inlineStr">
        <is>
          <t>출금</t>
        </is>
      </c>
      <c r="C272" s="28" t="n">
        <v>-305000</v>
      </c>
      <c r="D272" s="28">
        <f>D271+C272</f>
        <v/>
      </c>
      <c r="E272" s="9" t="inlineStr">
        <is>
          <t>일반이체</t>
        </is>
      </c>
      <c r="F272" s="9" t="inlineStr">
        <is>
          <t>유니폼제작(시보리)</t>
        </is>
      </c>
      <c r="G272" s="9" t="inlineStr">
        <is>
          <t>유니폼</t>
        </is>
      </c>
    </row>
    <row r="273">
      <c r="A273" s="29" t="n">
        <v>45805</v>
      </c>
      <c r="B273" s="76" t="inlineStr">
        <is>
          <t>입금</t>
        </is>
      </c>
      <c r="C273" s="26" t="n">
        <v>21500</v>
      </c>
      <c r="D273" s="31">
        <f>D272+C273</f>
        <v/>
      </c>
      <c r="E273" s="76" t="inlineStr">
        <is>
          <t>일반입금</t>
        </is>
      </c>
      <c r="F273" s="76" t="inlineStr">
        <is>
          <t>이민국</t>
        </is>
      </c>
      <c r="G273" s="76" t="inlineStr">
        <is>
          <t>유니폼</t>
        </is>
      </c>
    </row>
    <row r="274">
      <c r="A274" s="29" t="n">
        <v>45805</v>
      </c>
      <c r="B274" s="76" t="inlineStr">
        <is>
          <t>입금</t>
        </is>
      </c>
      <c r="C274" s="26" t="n">
        <v>22500</v>
      </c>
      <c r="D274" s="31">
        <f>D273+C274</f>
        <v/>
      </c>
      <c r="E274" s="76" t="inlineStr">
        <is>
          <t>일반입금</t>
        </is>
      </c>
      <c r="F274" s="76" t="inlineStr">
        <is>
          <t>홍순인</t>
        </is>
      </c>
      <c r="G274" s="76" t="inlineStr">
        <is>
          <t>유니폼/6월회비</t>
        </is>
      </c>
    </row>
    <row r="275">
      <c r="A275" s="29" t="n">
        <v>45805</v>
      </c>
      <c r="B275" s="76" t="inlineStr">
        <is>
          <t>입금</t>
        </is>
      </c>
      <c r="C275" s="26" t="n">
        <v>9000</v>
      </c>
      <c r="D275" s="31">
        <f>D274+C275</f>
        <v/>
      </c>
      <c r="E275" s="76" t="inlineStr">
        <is>
          <t>일반입금</t>
        </is>
      </c>
      <c r="F275" s="76" t="inlineStr">
        <is>
          <t>홍순인</t>
        </is>
      </c>
      <c r="G275" s="76" t="inlineStr">
        <is>
          <t>유니폼/6월회비</t>
        </is>
      </c>
    </row>
    <row r="276">
      <c r="A276" s="29" t="n">
        <v>45805</v>
      </c>
      <c r="B276" s="76" t="inlineStr">
        <is>
          <t>입금</t>
        </is>
      </c>
      <c r="C276" s="26" t="n">
        <v>21500</v>
      </c>
      <c r="D276" s="31">
        <f>D275+C276</f>
        <v/>
      </c>
      <c r="E276" s="76" t="inlineStr">
        <is>
          <t>일반입금</t>
        </is>
      </c>
      <c r="F276" s="76" t="inlineStr">
        <is>
          <t>김우경</t>
        </is>
      </c>
      <c r="G276" s="76" t="inlineStr">
        <is>
          <t>유니폼</t>
        </is>
      </c>
    </row>
    <row r="277">
      <c r="A277" s="29" t="n">
        <v>45805</v>
      </c>
      <c r="B277" s="76" t="inlineStr">
        <is>
          <t>입금</t>
        </is>
      </c>
      <c r="C277" s="26" t="n">
        <v>21500</v>
      </c>
      <c r="D277" s="31">
        <f>D276+C277</f>
        <v/>
      </c>
      <c r="E277" s="76" t="inlineStr">
        <is>
          <t>일반입금</t>
        </is>
      </c>
      <c r="F277" s="76" t="inlineStr">
        <is>
          <t>정하림</t>
        </is>
      </c>
      <c r="G277" s="76" t="inlineStr">
        <is>
          <t>유니폼</t>
        </is>
      </c>
    </row>
    <row r="278">
      <c r="A278" s="29" t="n">
        <v>45805</v>
      </c>
      <c r="B278" s="76" t="inlineStr">
        <is>
          <t>입금</t>
        </is>
      </c>
      <c r="C278" s="26" t="n">
        <v>21500</v>
      </c>
      <c r="D278" s="31">
        <f>D277+C278</f>
        <v/>
      </c>
      <c r="E278" s="76" t="inlineStr">
        <is>
          <t>일반입금</t>
        </is>
      </c>
      <c r="F278" s="76" t="inlineStr">
        <is>
          <t>마상현</t>
        </is>
      </c>
      <c r="G278" s="76" t="inlineStr">
        <is>
          <t>유니폼</t>
        </is>
      </c>
    </row>
    <row r="279">
      <c r="A279" s="29" t="n">
        <v>45805</v>
      </c>
      <c r="B279" s="76" t="inlineStr">
        <is>
          <t>입금</t>
        </is>
      </c>
      <c r="C279" s="26" t="n">
        <v>21500</v>
      </c>
      <c r="D279" s="31">
        <f>D278+C279</f>
        <v/>
      </c>
      <c r="E279" s="76" t="inlineStr">
        <is>
          <t>일반입금</t>
        </is>
      </c>
      <c r="F279" s="76" t="inlineStr">
        <is>
          <t>장세영</t>
        </is>
      </c>
      <c r="G279" s="76" t="inlineStr">
        <is>
          <t>유니폼</t>
        </is>
      </c>
    </row>
    <row r="280">
      <c r="A280" s="29" t="n">
        <v>45805</v>
      </c>
      <c r="B280" s="76" t="inlineStr">
        <is>
          <t>입금</t>
        </is>
      </c>
      <c r="C280" s="26" t="n">
        <v>21500</v>
      </c>
      <c r="D280" s="31">
        <f>D279+C280</f>
        <v/>
      </c>
      <c r="E280" s="76" t="inlineStr">
        <is>
          <t>일반입금</t>
        </is>
      </c>
      <c r="F280" s="76" t="inlineStr">
        <is>
          <t>임한</t>
        </is>
      </c>
      <c r="G280" s="76" t="inlineStr">
        <is>
          <t>유니폼</t>
        </is>
      </c>
    </row>
    <row r="281">
      <c r="A281" s="29" t="n">
        <v>45805</v>
      </c>
      <c r="B281" s="76" t="inlineStr">
        <is>
          <t>입금</t>
        </is>
      </c>
      <c r="C281" s="26" t="n">
        <v>21500</v>
      </c>
      <c r="D281" s="31">
        <f>D280+C281</f>
        <v/>
      </c>
      <c r="E281" s="76" t="inlineStr">
        <is>
          <t>일반입금</t>
        </is>
      </c>
      <c r="F281" s="76" t="inlineStr">
        <is>
          <t>손다희</t>
        </is>
      </c>
      <c r="G281" s="76" t="inlineStr">
        <is>
          <t>유니폼</t>
        </is>
      </c>
    </row>
    <row r="282">
      <c r="A282" s="29" t="n">
        <v>45805</v>
      </c>
      <c r="B282" s="76" t="inlineStr">
        <is>
          <t>입금</t>
        </is>
      </c>
      <c r="C282" s="26" t="n">
        <v>43000</v>
      </c>
      <c r="D282" s="31">
        <f>D281+C282</f>
        <v/>
      </c>
      <c r="E282" s="76" t="inlineStr">
        <is>
          <t>일반입금</t>
        </is>
      </c>
      <c r="F282" s="76" t="inlineStr">
        <is>
          <t>민규 성은</t>
        </is>
      </c>
      <c r="G282" s="76" t="inlineStr">
        <is>
          <t>유니폼</t>
        </is>
      </c>
    </row>
    <row r="283">
      <c r="A283" s="29" t="n">
        <v>45805</v>
      </c>
      <c r="B283" s="76" t="inlineStr">
        <is>
          <t>입금</t>
        </is>
      </c>
      <c r="C283" s="26" t="n">
        <v>21500</v>
      </c>
      <c r="D283" s="31">
        <f>D282+C283</f>
        <v/>
      </c>
      <c r="E283" s="76" t="inlineStr">
        <is>
          <t>일반입금</t>
        </is>
      </c>
      <c r="F283" s="76" t="inlineStr">
        <is>
          <t>표승철</t>
        </is>
      </c>
      <c r="G283" s="76" t="inlineStr">
        <is>
          <t>유니폼</t>
        </is>
      </c>
    </row>
    <row r="284">
      <c r="A284" s="29" t="n">
        <v>45805</v>
      </c>
      <c r="B284" s="76" t="inlineStr">
        <is>
          <t>입금</t>
        </is>
      </c>
      <c r="C284" s="26" t="n">
        <v>21500</v>
      </c>
      <c r="D284" s="31">
        <f>D283+C284</f>
        <v/>
      </c>
      <c r="E284" s="76" t="inlineStr">
        <is>
          <t>일반입금</t>
        </is>
      </c>
      <c r="F284" s="76" t="inlineStr">
        <is>
          <t>박원주</t>
        </is>
      </c>
      <c r="G284" s="76" t="inlineStr">
        <is>
          <t>유니폼</t>
        </is>
      </c>
    </row>
    <row r="285">
      <c r="A285" s="29" t="n">
        <v>45805</v>
      </c>
      <c r="B285" s="76" t="inlineStr">
        <is>
          <t>입금</t>
        </is>
      </c>
      <c r="C285" s="26" t="n">
        <v>21500</v>
      </c>
      <c r="D285" s="31">
        <f>D284+C285</f>
        <v/>
      </c>
      <c r="E285" s="76" t="inlineStr">
        <is>
          <t>일반입금</t>
        </is>
      </c>
      <c r="F285" s="76" t="inlineStr">
        <is>
          <t>이인선</t>
        </is>
      </c>
      <c r="G285" s="76" t="inlineStr">
        <is>
          <t>유니폼</t>
        </is>
      </c>
    </row>
    <row r="286">
      <c r="A286" s="29" t="n">
        <v>45805</v>
      </c>
      <c r="B286" s="76" t="inlineStr">
        <is>
          <t>입금</t>
        </is>
      </c>
      <c r="C286" s="26" t="n">
        <v>43000</v>
      </c>
      <c r="D286" s="31">
        <f>D285+C286</f>
        <v/>
      </c>
      <c r="E286" s="76" t="inlineStr">
        <is>
          <t>일반입금</t>
        </is>
      </c>
      <c r="F286" s="76" t="inlineStr">
        <is>
          <t>이연 희범</t>
        </is>
      </c>
      <c r="G286" s="76" t="inlineStr">
        <is>
          <t>유니폼</t>
        </is>
      </c>
    </row>
    <row r="287">
      <c r="A287" s="29" t="n">
        <v>45805</v>
      </c>
      <c r="B287" s="76" t="inlineStr">
        <is>
          <t>입금</t>
        </is>
      </c>
      <c r="C287" s="26" t="n">
        <v>15000</v>
      </c>
      <c r="D287" s="31">
        <f>D286+C287</f>
        <v/>
      </c>
      <c r="E287" s="76" t="inlineStr">
        <is>
          <t>일반입금</t>
        </is>
      </c>
      <c r="F287" s="76" t="inlineStr">
        <is>
          <t>장세영게스트</t>
        </is>
      </c>
      <c r="G287" s="76" t="inlineStr">
        <is>
          <t>게스트</t>
        </is>
      </c>
      <c r="H287" s="76" t="inlineStr">
        <is>
          <t>5/28 게스트</t>
        </is>
      </c>
    </row>
    <row r="288">
      <c r="A288" s="29" t="n">
        <v>45806</v>
      </c>
      <c r="B288" s="76" t="inlineStr">
        <is>
          <t>입금</t>
        </is>
      </c>
      <c r="C288" s="26" t="n">
        <v>15000</v>
      </c>
      <c r="D288" s="31">
        <f>D287+C288</f>
        <v/>
      </c>
      <c r="E288" s="76" t="inlineStr">
        <is>
          <t>일반입금</t>
        </is>
      </c>
      <c r="F288" s="76" t="inlineStr">
        <is>
          <t>한승재(게스트참여)</t>
        </is>
      </c>
      <c r="G288" s="76" t="inlineStr">
        <is>
          <t>게스트</t>
        </is>
      </c>
    </row>
    <row r="289">
      <c r="A289" s="29" t="n">
        <v>45807</v>
      </c>
      <c r="B289" s="76" t="inlineStr">
        <is>
          <t>입금</t>
        </is>
      </c>
      <c r="C289" s="26" t="n">
        <v>43000</v>
      </c>
      <c r="D289" s="31">
        <f>D288+C289</f>
        <v/>
      </c>
      <c r="E289" s="76" t="inlineStr">
        <is>
          <t>일반입금</t>
        </is>
      </c>
      <c r="F289" s="76" t="inlineStr">
        <is>
          <t>재식 세영</t>
        </is>
      </c>
      <c r="G289" s="76" t="inlineStr">
        <is>
          <t>유니폼</t>
        </is>
      </c>
    </row>
    <row r="290">
      <c r="A290" s="29" t="n">
        <v>45807</v>
      </c>
      <c r="B290" s="76" t="inlineStr">
        <is>
          <t>입금</t>
        </is>
      </c>
      <c r="C290" s="26" t="n">
        <v>21500</v>
      </c>
      <c r="D290" s="31">
        <f>D289+C290</f>
        <v/>
      </c>
      <c r="E290" s="76" t="inlineStr">
        <is>
          <t>일반입금</t>
        </is>
      </c>
      <c r="F290" s="76" t="inlineStr">
        <is>
          <t>이규범</t>
        </is>
      </c>
      <c r="G290" s="76" t="inlineStr">
        <is>
          <t>유니폼</t>
        </is>
      </c>
    </row>
    <row r="291">
      <c r="A291" s="8" t="n">
        <v>45808</v>
      </c>
      <c r="B291" s="9" t="inlineStr">
        <is>
          <t>출금</t>
        </is>
      </c>
      <c r="C291" s="28" t="n">
        <v>-39000</v>
      </c>
      <c r="D291" s="28">
        <f>D290+C291</f>
        <v/>
      </c>
      <c r="E291" s="9" t="inlineStr">
        <is>
          <t>일반이체(쿠팡)</t>
        </is>
      </c>
      <c r="F291" s="9" t="inlineStr">
        <is>
          <t>풋살공</t>
        </is>
      </c>
      <c r="G291" s="9" t="inlineStr">
        <is>
          <t>소모품비</t>
        </is>
      </c>
    </row>
    <row r="292">
      <c r="A292" s="29" t="n"/>
      <c r="B292" s="14" t="inlineStr">
        <is>
          <t>이월금액</t>
        </is>
      </c>
      <c r="C292" s="27">
        <f>D227</f>
        <v/>
      </c>
    </row>
    <row r="293">
      <c r="A293" s="29" t="n"/>
      <c r="B293" s="14" t="inlineStr">
        <is>
          <t>5월 입금</t>
        </is>
      </c>
      <c r="C293" s="27" t="n">
        <v>1518566</v>
      </c>
    </row>
    <row r="294">
      <c r="A294" s="29" t="n"/>
      <c r="B294" s="14" t="inlineStr">
        <is>
          <t>5월 출금</t>
        </is>
      </c>
      <c r="C294" s="27" t="n">
        <v>-1093000</v>
      </c>
    </row>
    <row r="295">
      <c r="A295" s="29" t="n">
        <v>45810</v>
      </c>
      <c r="B295" s="76" t="inlineStr">
        <is>
          <t>입금</t>
        </is>
      </c>
      <c r="C295" s="26" t="n">
        <v>21500</v>
      </c>
      <c r="D295" s="31">
        <f>D291+C295</f>
        <v/>
      </c>
      <c r="E295" s="76" t="inlineStr">
        <is>
          <t>일반입금</t>
        </is>
      </c>
      <c r="F295" s="76" t="inlineStr">
        <is>
          <t>박지원</t>
        </is>
      </c>
      <c r="G295" s="76" t="inlineStr">
        <is>
          <t>유니폼</t>
        </is>
      </c>
    </row>
    <row r="296">
      <c r="A296" s="29" t="n">
        <v>45812</v>
      </c>
      <c r="B296" s="76" t="inlineStr">
        <is>
          <t>입금</t>
        </is>
      </c>
      <c r="C296" s="26" t="n">
        <v>30000</v>
      </c>
      <c r="D296" s="31">
        <f>D295+C296</f>
        <v/>
      </c>
      <c r="E296" s="76" t="inlineStr">
        <is>
          <t>일반입금</t>
        </is>
      </c>
      <c r="F296" s="76" t="inlineStr">
        <is>
          <t>손다희</t>
        </is>
      </c>
      <c r="G296" s="76" t="inlineStr">
        <is>
          <t>6월 회비</t>
        </is>
      </c>
    </row>
    <row r="297">
      <c r="A297" s="16" t="n">
        <v>45812</v>
      </c>
      <c r="B297" s="17" t="inlineStr">
        <is>
          <t>출금</t>
        </is>
      </c>
      <c r="C297" s="32" t="n">
        <v>-63000</v>
      </c>
      <c r="D297" s="32">
        <f>D296+C297</f>
        <v/>
      </c>
      <c r="E297" s="17" t="inlineStr">
        <is>
          <t>일반이체</t>
        </is>
      </c>
      <c r="F297" s="17" t="inlineStr">
        <is>
          <t>유니폼제작비</t>
        </is>
      </c>
      <c r="G297" s="17" t="inlineStr">
        <is>
          <t>유니폼 제작비 선급금</t>
        </is>
      </c>
    </row>
    <row r="298">
      <c r="A298" s="16" t="n">
        <v>45812</v>
      </c>
      <c r="B298" s="17" t="inlineStr">
        <is>
          <t>출금</t>
        </is>
      </c>
      <c r="C298" s="32" t="n">
        <v>-14000</v>
      </c>
      <c r="D298" s="32">
        <f>D297+C298</f>
        <v/>
      </c>
      <c r="E298" s="17" t="inlineStr">
        <is>
          <t>일반이체</t>
        </is>
      </c>
      <c r="F298" s="17" t="inlineStr">
        <is>
          <t>유니폼제작비</t>
        </is>
      </c>
      <c r="G298" s="17" t="inlineStr">
        <is>
          <t>유니폼 제작비 선급금</t>
        </is>
      </c>
    </row>
    <row r="299">
      <c r="A299" s="8" t="n">
        <v>45812</v>
      </c>
      <c r="B299" s="9" t="inlineStr">
        <is>
          <t>출금</t>
        </is>
      </c>
      <c r="C299" s="28" t="n">
        <v>-260200</v>
      </c>
      <c r="D299" s="28">
        <f>D298+C299</f>
        <v/>
      </c>
      <c r="E299" s="9" t="inlineStr">
        <is>
          <t>일반이체</t>
        </is>
      </c>
      <c r="F299" s="9" t="inlineStr">
        <is>
          <t>유니폼제작비(와펜)</t>
        </is>
      </c>
      <c r="G299" s="9" t="inlineStr">
        <is>
          <t>유니폼</t>
        </is>
      </c>
    </row>
    <row r="300">
      <c r="A300" s="16" t="n">
        <v>45812</v>
      </c>
      <c r="B300" s="17" t="inlineStr">
        <is>
          <t>입금</t>
        </is>
      </c>
      <c r="C300" s="32" t="n">
        <v>77000</v>
      </c>
      <c r="D300" s="33">
        <f>D299+C300</f>
        <v/>
      </c>
      <c r="E300" s="17" t="inlineStr">
        <is>
          <t>일반입금</t>
        </is>
      </c>
      <c r="F300" s="17" t="inlineStr">
        <is>
          <t>조은애</t>
        </is>
      </c>
      <c r="G300" s="17" t="inlineStr">
        <is>
          <t>유니폼 제작비 선급금 상계처리</t>
        </is>
      </c>
    </row>
    <row r="301">
      <c r="A301" s="8" t="n">
        <v>45812</v>
      </c>
      <c r="B301" s="9" t="inlineStr">
        <is>
          <t>출금</t>
        </is>
      </c>
      <c r="C301" s="28" t="n">
        <v>-92400</v>
      </c>
      <c r="D301" s="28">
        <f>D300+C301</f>
        <v/>
      </c>
      <c r="E301" s="9" t="inlineStr">
        <is>
          <t>일반이체</t>
        </is>
      </c>
      <c r="F301" s="9" t="inlineStr">
        <is>
          <t>유니폼제작비</t>
        </is>
      </c>
      <c r="G301" s="9" t="inlineStr">
        <is>
          <t>유니폼</t>
        </is>
      </c>
      <c r="H301" s="76" t="inlineStr">
        <is>
          <t>유니폼제작비 선급금 77,000에서 추가금 더하여 92,400 지출</t>
        </is>
      </c>
    </row>
    <row r="302">
      <c r="A302" s="29" t="n">
        <v>45813</v>
      </c>
      <c r="B302" s="76" t="inlineStr">
        <is>
          <t>입금</t>
        </is>
      </c>
      <c r="C302" s="26" t="n">
        <v>30000</v>
      </c>
      <c r="D302" s="31">
        <f>D301+C302</f>
        <v/>
      </c>
      <c r="E302" s="76" t="inlineStr">
        <is>
          <t>일반입금</t>
        </is>
      </c>
      <c r="F302" s="76" t="inlineStr">
        <is>
          <t>한승재</t>
        </is>
      </c>
      <c r="G302" s="76" t="inlineStr">
        <is>
          <t>6월 회비</t>
        </is>
      </c>
    </row>
    <row r="303">
      <c r="A303" s="29" t="n">
        <v>45813</v>
      </c>
      <c r="B303" s="76" t="inlineStr">
        <is>
          <t>입금</t>
        </is>
      </c>
      <c r="C303" s="26" t="n">
        <v>30000</v>
      </c>
      <c r="D303" s="31">
        <f>D302+C303</f>
        <v/>
      </c>
      <c r="E303" s="76" t="inlineStr">
        <is>
          <t>일반입금</t>
        </is>
      </c>
      <c r="F303" s="76" t="inlineStr">
        <is>
          <t>도민환</t>
        </is>
      </c>
      <c r="G303" s="76" t="inlineStr">
        <is>
          <t>6월 회비</t>
        </is>
      </c>
    </row>
    <row r="304">
      <c r="A304" s="8" t="n">
        <v>45820</v>
      </c>
      <c r="B304" s="9" t="inlineStr">
        <is>
          <t>출금</t>
        </is>
      </c>
      <c r="C304" s="28" t="n">
        <v>-39000</v>
      </c>
      <c r="D304" s="28">
        <f>D303+C304</f>
        <v/>
      </c>
      <c r="E304" s="9" t="inlineStr">
        <is>
          <t>일반이체(쿠팡)</t>
        </is>
      </c>
      <c r="F304" s="9" t="inlineStr">
        <is>
          <t>풋살공</t>
        </is>
      </c>
      <c r="G304" s="9" t="inlineStr">
        <is>
          <t>소모품비</t>
        </is>
      </c>
    </row>
    <row r="305">
      <c r="A305" s="29" t="n">
        <v>45827</v>
      </c>
      <c r="B305" s="76" t="inlineStr">
        <is>
          <t>입금</t>
        </is>
      </c>
      <c r="C305" s="26" t="n">
        <v>15000</v>
      </c>
      <c r="D305" s="31">
        <f>D304+C305</f>
        <v/>
      </c>
      <c r="E305" s="76" t="inlineStr">
        <is>
          <t>일반입금</t>
        </is>
      </c>
      <c r="F305" s="76" t="inlineStr">
        <is>
          <t>원주게스트(승호b)</t>
        </is>
      </c>
      <c r="G305" s="76" t="inlineStr">
        <is>
          <t>게스트</t>
        </is>
      </c>
      <c r="H305" s="76" t="inlineStr">
        <is>
          <t>6/18 게스트</t>
        </is>
      </c>
    </row>
    <row r="306">
      <c r="A306" s="29" t="n">
        <v>45828</v>
      </c>
      <c r="B306" s="76" t="inlineStr">
        <is>
          <t>입금</t>
        </is>
      </c>
      <c r="C306" s="26" t="n">
        <v>30000</v>
      </c>
      <c r="D306" s="31">
        <f>D305+C306</f>
        <v/>
      </c>
      <c r="E306" s="76" t="inlineStr">
        <is>
          <t>일반입금</t>
        </is>
      </c>
      <c r="F306" s="76" t="inlineStr">
        <is>
          <t>김두은</t>
        </is>
      </c>
      <c r="G306" s="76" t="inlineStr">
        <is>
          <t>7월 회비</t>
        </is>
      </c>
    </row>
    <row r="307">
      <c r="A307" s="29" t="n">
        <v>45828</v>
      </c>
      <c r="B307" s="76" t="inlineStr">
        <is>
          <t>입금</t>
        </is>
      </c>
      <c r="C307" s="26" t="n">
        <v>30000</v>
      </c>
      <c r="D307" s="31">
        <f>D306+C307</f>
        <v/>
      </c>
      <c r="E307" s="76" t="inlineStr">
        <is>
          <t>일반입금</t>
        </is>
      </c>
      <c r="F307" s="76" t="inlineStr">
        <is>
          <t>한승재</t>
        </is>
      </c>
      <c r="G307" s="76" t="inlineStr">
        <is>
          <t>7월 회비</t>
        </is>
      </c>
    </row>
    <row r="308">
      <c r="A308" s="29" t="n">
        <v>45828</v>
      </c>
      <c r="B308" s="76" t="inlineStr">
        <is>
          <t>입금</t>
        </is>
      </c>
      <c r="C308" s="26" t="n">
        <v>15000</v>
      </c>
      <c r="D308" s="31">
        <f>D307+C308</f>
        <v/>
      </c>
      <c r="E308" s="76" t="inlineStr">
        <is>
          <t>일반입금</t>
        </is>
      </c>
      <c r="F308" s="76" t="inlineStr">
        <is>
          <t>최승호게스트</t>
        </is>
      </c>
      <c r="G308" s="76" t="inlineStr">
        <is>
          <t>게스트</t>
        </is>
      </c>
      <c r="H308" s="76" t="inlineStr">
        <is>
          <t>6/18 게스트</t>
        </is>
      </c>
    </row>
    <row r="309">
      <c r="A309" s="29" t="n">
        <v>45828</v>
      </c>
      <c r="B309" s="76" t="inlineStr">
        <is>
          <t>입금</t>
        </is>
      </c>
      <c r="C309" s="26" t="n">
        <v>10000</v>
      </c>
      <c r="D309" s="31">
        <f>D308+C309</f>
        <v/>
      </c>
      <c r="E309" s="76" t="inlineStr">
        <is>
          <t>일반입금</t>
        </is>
      </c>
      <c r="F309" s="76" t="inlineStr">
        <is>
          <t>최승호</t>
        </is>
      </c>
      <c r="G309" s="76" t="inlineStr">
        <is>
          <t>7월 회비</t>
        </is>
      </c>
    </row>
    <row r="310">
      <c r="A310" s="29" t="n">
        <v>45828</v>
      </c>
      <c r="B310" s="76" t="inlineStr">
        <is>
          <t>입금</t>
        </is>
      </c>
      <c r="C310" s="26" t="n">
        <v>10000</v>
      </c>
      <c r="D310" s="31">
        <f>D309+C310</f>
        <v/>
      </c>
      <c r="E310" s="76" t="inlineStr">
        <is>
          <t>일반입금</t>
        </is>
      </c>
      <c r="F310" s="76" t="inlineStr">
        <is>
          <t>홍순인</t>
        </is>
      </c>
      <c r="G310" s="76" t="inlineStr">
        <is>
          <t>7월 회비</t>
        </is>
      </c>
    </row>
    <row r="311">
      <c r="A311" s="29" t="n">
        <v>45828</v>
      </c>
      <c r="B311" s="76" t="inlineStr">
        <is>
          <t>입금</t>
        </is>
      </c>
      <c r="C311" s="26" t="n">
        <v>10000</v>
      </c>
      <c r="D311" s="31">
        <f>D310+C311</f>
        <v/>
      </c>
      <c r="E311" s="76" t="inlineStr">
        <is>
          <t>일반입금</t>
        </is>
      </c>
      <c r="F311" s="76" t="inlineStr">
        <is>
          <t>원재식</t>
        </is>
      </c>
      <c r="G311" s="76" t="inlineStr">
        <is>
          <t>7월 회비</t>
        </is>
      </c>
    </row>
    <row r="312">
      <c r="A312" s="29" t="n">
        <v>45828</v>
      </c>
      <c r="B312" s="76" t="inlineStr">
        <is>
          <t>입금</t>
        </is>
      </c>
      <c r="C312" s="26" t="n">
        <v>60000</v>
      </c>
      <c r="D312" s="31">
        <f>D311+C312</f>
        <v/>
      </c>
      <c r="E312" s="76" t="inlineStr">
        <is>
          <t>일반입금</t>
        </is>
      </c>
      <c r="F312" s="76" t="inlineStr">
        <is>
          <t>민주 동헌</t>
        </is>
      </c>
      <c r="G312" s="76" t="inlineStr">
        <is>
          <t>7월 회비</t>
        </is>
      </c>
    </row>
    <row r="313">
      <c r="A313" s="29" t="n">
        <v>45828</v>
      </c>
      <c r="B313" s="76" t="inlineStr">
        <is>
          <t>입금</t>
        </is>
      </c>
      <c r="C313" s="26" t="n">
        <v>30000</v>
      </c>
      <c r="D313" s="31">
        <f>D312+C313</f>
        <v/>
      </c>
      <c r="E313" s="76" t="inlineStr">
        <is>
          <t>일반입금</t>
        </is>
      </c>
      <c r="F313" s="76" t="inlineStr">
        <is>
          <t>김우경</t>
        </is>
      </c>
      <c r="G313" s="76" t="inlineStr">
        <is>
          <t>7월 회비</t>
        </is>
      </c>
    </row>
    <row r="314">
      <c r="A314" s="29" t="n">
        <v>45828</v>
      </c>
      <c r="B314" s="76" t="inlineStr">
        <is>
          <t>입금</t>
        </is>
      </c>
      <c r="C314" s="26" t="n">
        <v>30000</v>
      </c>
      <c r="D314" s="31">
        <f>D313+C314</f>
        <v/>
      </c>
      <c r="E314" s="76" t="inlineStr">
        <is>
          <t>일반입금</t>
        </is>
      </c>
      <c r="F314" s="76" t="inlineStr">
        <is>
          <t>도민환</t>
        </is>
      </c>
      <c r="G314" s="76" t="inlineStr">
        <is>
          <t>7월 회비</t>
        </is>
      </c>
    </row>
    <row r="315">
      <c r="A315" s="29" t="n">
        <v>45828</v>
      </c>
      <c r="B315" s="76" t="inlineStr">
        <is>
          <t>입금</t>
        </is>
      </c>
      <c r="C315" s="26" t="n">
        <v>30000</v>
      </c>
      <c r="D315" s="31">
        <f>D314+C315</f>
        <v/>
      </c>
      <c r="E315" s="76" t="inlineStr">
        <is>
          <t>일반입금</t>
        </is>
      </c>
      <c r="F315" s="76" t="inlineStr">
        <is>
          <t>임한</t>
        </is>
      </c>
      <c r="G315" s="76" t="inlineStr">
        <is>
          <t>7월 회비</t>
        </is>
      </c>
    </row>
    <row r="316">
      <c r="A316" s="29" t="n">
        <v>45828</v>
      </c>
      <c r="B316" s="76" t="inlineStr">
        <is>
          <t>입금</t>
        </is>
      </c>
      <c r="C316" s="26" t="n">
        <v>30000</v>
      </c>
      <c r="D316" s="31">
        <f>D315+C316</f>
        <v/>
      </c>
      <c r="E316" s="76" t="inlineStr">
        <is>
          <t>일반입금</t>
        </is>
      </c>
      <c r="F316" s="76" t="inlineStr">
        <is>
          <t>이민국</t>
        </is>
      </c>
      <c r="G316" s="76" t="inlineStr">
        <is>
          <t>7월 회비</t>
        </is>
      </c>
    </row>
    <row r="317">
      <c r="A317" s="29" t="n">
        <v>45828</v>
      </c>
      <c r="B317" s="76" t="inlineStr">
        <is>
          <t>입금</t>
        </is>
      </c>
      <c r="C317" s="26" t="n">
        <v>30000</v>
      </c>
      <c r="D317" s="31">
        <f>D316+C317</f>
        <v/>
      </c>
      <c r="E317" s="76" t="inlineStr">
        <is>
          <t>일반입금</t>
        </is>
      </c>
      <c r="F317" s="76" t="inlineStr">
        <is>
          <t>박혜란</t>
        </is>
      </c>
      <c r="G317" s="76" t="inlineStr">
        <is>
          <t>7월 회비</t>
        </is>
      </c>
    </row>
    <row r="318">
      <c r="A318" s="29" t="n">
        <v>45828</v>
      </c>
      <c r="B318" s="76" t="inlineStr">
        <is>
          <t>입금</t>
        </is>
      </c>
      <c r="C318" s="26" t="n">
        <v>30000</v>
      </c>
      <c r="D318" s="31">
        <f>D317+C318</f>
        <v/>
      </c>
      <c r="E318" s="76" t="inlineStr">
        <is>
          <t>일반입금</t>
        </is>
      </c>
      <c r="F318" s="76" t="inlineStr">
        <is>
          <t>최신비</t>
        </is>
      </c>
      <c r="G318" s="76" t="inlineStr">
        <is>
          <t>7월 회비</t>
        </is>
      </c>
    </row>
    <row r="319">
      <c r="A319" s="29" t="n">
        <v>45828</v>
      </c>
      <c r="B319" s="76" t="inlineStr">
        <is>
          <t>입금</t>
        </is>
      </c>
      <c r="C319" s="26" t="n">
        <v>30000</v>
      </c>
      <c r="D319" s="31">
        <f>D318+C319</f>
        <v/>
      </c>
      <c r="E319" s="76" t="inlineStr">
        <is>
          <t>일반입금</t>
        </is>
      </c>
      <c r="F319" s="76" t="inlineStr">
        <is>
          <t>박원주</t>
        </is>
      </c>
      <c r="G319" s="76" t="inlineStr">
        <is>
          <t>7월 회비</t>
        </is>
      </c>
    </row>
    <row r="320">
      <c r="A320" s="29" t="n">
        <v>45828</v>
      </c>
      <c r="B320" s="76" t="inlineStr">
        <is>
          <t>입금</t>
        </is>
      </c>
      <c r="C320" s="26" t="n">
        <v>30000</v>
      </c>
      <c r="D320" s="31">
        <f>D319+C320</f>
        <v/>
      </c>
      <c r="E320" s="76" t="inlineStr">
        <is>
          <t>일반입금</t>
        </is>
      </c>
      <c r="F320" s="76" t="inlineStr">
        <is>
          <t>심지수</t>
        </is>
      </c>
      <c r="G320" s="76" t="inlineStr">
        <is>
          <t>7월 회비</t>
        </is>
      </c>
    </row>
    <row r="321">
      <c r="A321" s="29" t="n">
        <v>45828</v>
      </c>
      <c r="B321" s="76" t="inlineStr">
        <is>
          <t>입금</t>
        </is>
      </c>
      <c r="C321" s="26" t="n">
        <v>30000</v>
      </c>
      <c r="D321" s="31">
        <f>D320+C321</f>
        <v/>
      </c>
      <c r="E321" s="76" t="inlineStr">
        <is>
          <t>일반입금</t>
        </is>
      </c>
      <c r="F321" s="76" t="inlineStr">
        <is>
          <t>마상현</t>
        </is>
      </c>
      <c r="G321" s="76" t="inlineStr">
        <is>
          <t>7월 회비</t>
        </is>
      </c>
    </row>
    <row r="322">
      <c r="A322" s="29" t="n">
        <v>45829</v>
      </c>
      <c r="B322" s="76" t="inlineStr">
        <is>
          <t>입금</t>
        </is>
      </c>
      <c r="C322" s="26" t="n">
        <v>10000</v>
      </c>
      <c r="D322" s="31">
        <f>D321+C322</f>
        <v/>
      </c>
      <c r="E322" s="76" t="inlineStr">
        <is>
          <t>일반입금</t>
        </is>
      </c>
      <c r="F322" s="76" t="inlineStr">
        <is>
          <t>박승한</t>
        </is>
      </c>
      <c r="G322" s="76" t="inlineStr">
        <is>
          <t>7월 회비</t>
        </is>
      </c>
    </row>
    <row r="323">
      <c r="A323" s="29" t="n">
        <v>45829</v>
      </c>
      <c r="B323" s="76" t="inlineStr">
        <is>
          <t>입금</t>
        </is>
      </c>
      <c r="C323" s="26" t="n">
        <v>30000</v>
      </c>
      <c r="D323" s="31">
        <f>D322+C323</f>
        <v/>
      </c>
      <c r="E323" s="76" t="inlineStr">
        <is>
          <t>일반입금</t>
        </is>
      </c>
      <c r="F323" s="76" t="inlineStr">
        <is>
          <t>안재영</t>
        </is>
      </c>
      <c r="G323" s="76" t="inlineStr">
        <is>
          <t>7월 회비</t>
        </is>
      </c>
    </row>
    <row r="324">
      <c r="A324" s="29" t="n">
        <v>45829</v>
      </c>
      <c r="B324" s="76" t="inlineStr">
        <is>
          <t>입금</t>
        </is>
      </c>
      <c r="C324" s="26" t="n">
        <v>30000</v>
      </c>
      <c r="D324" s="31">
        <f>D323+C324</f>
        <v/>
      </c>
      <c r="E324" s="76" t="inlineStr">
        <is>
          <t>일반입금</t>
        </is>
      </c>
      <c r="F324" s="76" t="inlineStr">
        <is>
          <t>배성은</t>
        </is>
      </c>
      <c r="G324" s="76" t="inlineStr">
        <is>
          <t>7월 회비</t>
        </is>
      </c>
    </row>
    <row r="325">
      <c r="A325" s="29" t="n">
        <v>45829</v>
      </c>
      <c r="B325" s="76" t="inlineStr">
        <is>
          <t>입금</t>
        </is>
      </c>
      <c r="C325" s="26" t="n">
        <v>30000</v>
      </c>
      <c r="D325" s="31">
        <f>D324+C325</f>
        <v/>
      </c>
      <c r="E325" s="76" t="inlineStr">
        <is>
          <t>일반입금</t>
        </is>
      </c>
      <c r="F325" s="76" t="inlineStr">
        <is>
          <t>박민규</t>
        </is>
      </c>
      <c r="G325" s="76" t="inlineStr">
        <is>
          <t>7월 회비</t>
        </is>
      </c>
    </row>
    <row r="326">
      <c r="A326" s="8" t="n">
        <v>45829</v>
      </c>
      <c r="B326" s="9" t="inlineStr">
        <is>
          <t>출금</t>
        </is>
      </c>
      <c r="C326" s="28" t="n">
        <v>-700000</v>
      </c>
      <c r="D326" s="28">
        <f>D325+C326</f>
        <v/>
      </c>
      <c r="E326" s="9" t="inlineStr">
        <is>
          <t>일반이체</t>
        </is>
      </c>
      <c r="F326" s="9" t="inlineStr">
        <is>
          <t>7월 구장 예약</t>
        </is>
      </c>
      <c r="G326" s="9" t="inlineStr">
        <is>
          <t>7월 구장</t>
        </is>
      </c>
      <c r="H326" s="76" t="inlineStr">
        <is>
          <t>7월 전체</t>
        </is>
      </c>
    </row>
    <row r="327">
      <c r="A327" s="29" t="n">
        <v>45830</v>
      </c>
      <c r="B327" s="76" t="inlineStr">
        <is>
          <t>입금</t>
        </is>
      </c>
      <c r="C327" s="26" t="n">
        <v>30000</v>
      </c>
      <c r="D327" s="31">
        <f>D326+C327</f>
        <v/>
      </c>
      <c r="E327" s="76" t="inlineStr">
        <is>
          <t>일반입금</t>
        </is>
      </c>
      <c r="F327" s="76" t="inlineStr">
        <is>
          <t>정하림</t>
        </is>
      </c>
      <c r="G327" s="76" t="inlineStr">
        <is>
          <t>7월 회비</t>
        </is>
      </c>
    </row>
    <row r="328">
      <c r="A328" s="29" t="n">
        <v>45831</v>
      </c>
      <c r="B328" s="76" t="inlineStr">
        <is>
          <t>입금</t>
        </is>
      </c>
      <c r="C328" s="26" t="n">
        <v>30000</v>
      </c>
      <c r="D328" s="31">
        <f>D327+C328</f>
        <v/>
      </c>
      <c r="E328" s="76" t="inlineStr">
        <is>
          <t>일반입금</t>
        </is>
      </c>
      <c r="F328" s="76" t="inlineStr">
        <is>
          <t>표승철</t>
        </is>
      </c>
      <c r="G328" s="76" t="inlineStr">
        <is>
          <t>7월 회비</t>
        </is>
      </c>
    </row>
    <row r="329">
      <c r="A329" s="29" t="n">
        <v>45831</v>
      </c>
      <c r="B329" s="76" t="inlineStr">
        <is>
          <t>입금</t>
        </is>
      </c>
      <c r="C329" s="26" t="n">
        <v>30000</v>
      </c>
      <c r="D329" s="31">
        <f>D328+C329</f>
        <v/>
      </c>
      <c r="E329" s="76" t="inlineStr">
        <is>
          <t>일반입금</t>
        </is>
      </c>
      <c r="F329" s="76" t="inlineStr">
        <is>
          <t>이인선</t>
        </is>
      </c>
      <c r="G329" s="76" t="inlineStr">
        <is>
          <t>7월 회비</t>
        </is>
      </c>
    </row>
    <row r="330">
      <c r="A330" s="29" t="n">
        <v>45832</v>
      </c>
      <c r="B330" s="76" t="inlineStr">
        <is>
          <t>입금</t>
        </is>
      </c>
      <c r="C330" s="26" t="n">
        <v>20000</v>
      </c>
      <c r="D330" s="31">
        <f>D329+C330</f>
        <v/>
      </c>
      <c r="E330" s="76" t="inlineStr">
        <is>
          <t>일반입금</t>
        </is>
      </c>
      <c r="F330" s="76" t="inlineStr">
        <is>
          <t>희범 이연</t>
        </is>
      </c>
      <c r="G330" s="76" t="inlineStr">
        <is>
          <t>7월 회비</t>
        </is>
      </c>
    </row>
    <row r="331">
      <c r="A331" s="29" t="n">
        <v>45833</v>
      </c>
      <c r="B331" s="76" t="inlineStr">
        <is>
          <t>입금</t>
        </is>
      </c>
      <c r="C331" s="26" t="n">
        <v>30000</v>
      </c>
      <c r="D331" s="31">
        <f>D330+C331</f>
        <v/>
      </c>
      <c r="E331" s="76" t="inlineStr">
        <is>
          <t>일반입금</t>
        </is>
      </c>
      <c r="F331" s="76" t="inlineStr">
        <is>
          <t>박지원</t>
        </is>
      </c>
      <c r="G331" s="76" t="inlineStr">
        <is>
          <t>7월 회비</t>
        </is>
      </c>
    </row>
    <row r="332">
      <c r="A332" s="29" t="n">
        <v>45833</v>
      </c>
      <c r="B332" s="76" t="inlineStr">
        <is>
          <t>입금</t>
        </is>
      </c>
      <c r="C332" s="26" t="n">
        <v>15000</v>
      </c>
      <c r="D332" s="31">
        <f>D331+C332</f>
        <v/>
      </c>
      <c r="E332" s="76" t="inlineStr">
        <is>
          <t>일반입금</t>
        </is>
      </c>
      <c r="F332" s="76" t="inlineStr">
        <is>
          <t>원주게스트(승호b)</t>
        </is>
      </c>
      <c r="G332" s="76" t="inlineStr">
        <is>
          <t>게스트</t>
        </is>
      </c>
      <c r="H332" s="76" t="inlineStr">
        <is>
          <t>6/25 게스트</t>
        </is>
      </c>
    </row>
    <row r="333">
      <c r="A333" s="29" t="n">
        <v>45834</v>
      </c>
      <c r="B333" s="76" t="inlineStr">
        <is>
          <t>입금</t>
        </is>
      </c>
      <c r="C333" s="26" t="n">
        <v>30000</v>
      </c>
      <c r="D333" s="31">
        <f>D332+C333</f>
        <v/>
      </c>
      <c r="E333" s="76" t="inlineStr">
        <is>
          <t>일반입금</t>
        </is>
      </c>
      <c r="F333" s="76" t="inlineStr">
        <is>
          <t>장세영</t>
        </is>
      </c>
      <c r="G333" s="76" t="inlineStr">
        <is>
          <t>7월 회비</t>
        </is>
      </c>
    </row>
    <row r="334">
      <c r="A334" s="29" t="n">
        <v>45834</v>
      </c>
      <c r="B334" s="76" t="inlineStr">
        <is>
          <t>입금</t>
        </is>
      </c>
      <c r="C334" s="26" t="n">
        <v>30000</v>
      </c>
      <c r="D334" s="31">
        <f>D333+C334</f>
        <v/>
      </c>
      <c r="E334" s="76" t="inlineStr">
        <is>
          <t>일반입금</t>
        </is>
      </c>
      <c r="F334" s="76" t="inlineStr">
        <is>
          <t>손다희</t>
        </is>
      </c>
      <c r="G334" s="76" t="inlineStr">
        <is>
          <t>7월 회비</t>
        </is>
      </c>
    </row>
    <row r="335">
      <c r="A335" s="29" t="n">
        <v>45834</v>
      </c>
      <c r="B335" s="76" t="inlineStr">
        <is>
          <t>입금</t>
        </is>
      </c>
      <c r="C335" s="26" t="n">
        <v>15000</v>
      </c>
      <c r="D335" s="31">
        <f>D334+C335</f>
        <v/>
      </c>
      <c r="E335" s="76" t="inlineStr">
        <is>
          <t>일반입금</t>
        </is>
      </c>
      <c r="F335" s="76" t="inlineStr">
        <is>
          <t>게스트(브루노)</t>
        </is>
      </c>
      <c r="G335" s="76" t="inlineStr">
        <is>
          <t>게스트</t>
        </is>
      </c>
      <c r="H335" s="76" t="inlineStr">
        <is>
          <t>6/25 게스트</t>
        </is>
      </c>
    </row>
    <row r="336">
      <c r="A336" s="29" t="n">
        <v>45835</v>
      </c>
      <c r="B336" s="76" t="inlineStr">
        <is>
          <t>입금</t>
        </is>
      </c>
      <c r="C336" s="26" t="n">
        <v>15000</v>
      </c>
      <c r="D336" s="31">
        <f>D335+C336</f>
        <v/>
      </c>
      <c r="E336" s="76" t="inlineStr">
        <is>
          <t>일반입금</t>
        </is>
      </c>
      <c r="F336" s="76" t="inlineStr">
        <is>
          <t>승호게스트(피터)</t>
        </is>
      </c>
      <c r="G336" s="76" t="inlineStr">
        <is>
          <t>게스트</t>
        </is>
      </c>
      <c r="H336" s="76" t="inlineStr">
        <is>
          <t>6/25 게스트</t>
        </is>
      </c>
    </row>
    <row r="337">
      <c r="A337" s="8" t="n">
        <v>45835</v>
      </c>
      <c r="B337" s="9" t="inlineStr">
        <is>
          <t>출금</t>
        </is>
      </c>
      <c r="C337" s="28" t="n">
        <v>-30000</v>
      </c>
      <c r="D337" s="28">
        <f>D336+C337</f>
        <v/>
      </c>
      <c r="E337" s="9" t="inlineStr">
        <is>
          <t>일반이체</t>
        </is>
      </c>
      <c r="F337" s="9" t="inlineStr">
        <is>
          <t>안재영 7월 회비 환불</t>
        </is>
      </c>
      <c r="G337" s="9" t="inlineStr">
        <is>
          <t>회비 환불</t>
        </is>
      </c>
    </row>
    <row r="338">
      <c r="A338" s="29" t="n">
        <v>45836</v>
      </c>
      <c r="B338" s="76" t="inlineStr">
        <is>
          <t>입금</t>
        </is>
      </c>
      <c r="C338" s="26" t="n">
        <v>116</v>
      </c>
      <c r="D338" s="31">
        <f>D337+C338</f>
        <v/>
      </c>
      <c r="E338" s="76" t="inlineStr">
        <is>
          <t>일반입금</t>
        </is>
      </c>
      <c r="F338" s="76" t="inlineStr">
        <is>
          <t>입출금통장이자</t>
        </is>
      </c>
      <c r="G338" s="76" t="inlineStr">
        <is>
          <t>기타</t>
        </is>
      </c>
    </row>
    <row r="339">
      <c r="A339" s="29" t="n"/>
      <c r="B339" s="14" t="inlineStr">
        <is>
          <t>5월 이월금액</t>
        </is>
      </c>
      <c r="C339" s="27">
        <f>D291</f>
        <v/>
      </c>
    </row>
    <row r="340">
      <c r="A340" s="29" t="n"/>
      <c r="B340" s="14" t="inlineStr">
        <is>
          <t>6월 입금</t>
        </is>
      </c>
      <c r="C340" s="27" t="n">
        <v>983616</v>
      </c>
    </row>
    <row r="341">
      <c r="A341" s="29" t="n"/>
      <c r="B341" s="14" t="inlineStr">
        <is>
          <t>6월 출금</t>
        </is>
      </c>
      <c r="C341" s="27" t="n">
        <v>-1198600</v>
      </c>
    </row>
    <row r="342">
      <c r="A342" s="29" t="n">
        <v>45841</v>
      </c>
      <c r="B342" s="76" t="inlineStr">
        <is>
          <t>입금</t>
        </is>
      </c>
      <c r="C342" s="26" t="n">
        <v>15000</v>
      </c>
      <c r="D342" s="31">
        <f>D338+C342</f>
        <v/>
      </c>
      <c r="E342" s="76" t="inlineStr">
        <is>
          <t>일반입금</t>
        </is>
      </c>
      <c r="F342" s="76" t="inlineStr">
        <is>
          <t>게스트(김민주)</t>
        </is>
      </c>
      <c r="G342" s="76" t="inlineStr">
        <is>
          <t>게스트</t>
        </is>
      </c>
      <c r="H342" s="76" t="inlineStr">
        <is>
          <t>7/2 게스트</t>
        </is>
      </c>
    </row>
    <row r="343">
      <c r="A343" s="29" t="n">
        <v>45841</v>
      </c>
      <c r="B343" s="76" t="inlineStr">
        <is>
          <t>입금</t>
        </is>
      </c>
      <c r="C343" s="26" t="n">
        <v>15000</v>
      </c>
      <c r="D343" s="31">
        <f>D342+C343</f>
        <v/>
      </c>
      <c r="E343" s="76" t="inlineStr">
        <is>
          <t>일반입금</t>
        </is>
      </c>
      <c r="F343" s="76" t="inlineStr">
        <is>
          <t>원주게스트(승호b)</t>
        </is>
      </c>
      <c r="G343" s="76" t="inlineStr">
        <is>
          <t>게스트</t>
        </is>
      </c>
      <c r="H343" s="76" t="inlineStr">
        <is>
          <t>7/2 게스트</t>
        </is>
      </c>
    </row>
    <row r="344">
      <c r="A344" s="8" t="n">
        <v>45843</v>
      </c>
      <c r="B344" s="9" t="inlineStr">
        <is>
          <t>출금</t>
        </is>
      </c>
      <c r="C344" s="28" t="n">
        <v>-36000</v>
      </c>
      <c r="D344" s="28">
        <f>D343+C344</f>
        <v/>
      </c>
      <c r="E344" s="9" t="inlineStr">
        <is>
          <t>일반이체</t>
        </is>
      </c>
      <c r="F344" s="9" t="inlineStr">
        <is>
          <t>이연 희범 식사</t>
        </is>
      </c>
      <c r="G344" s="9" t="inlineStr">
        <is>
          <t>지원금</t>
        </is>
      </c>
      <c r="H344" s="76" t="inlineStr">
        <is>
          <t>스튜디오 촬영 지원</t>
        </is>
      </c>
    </row>
    <row r="345">
      <c r="A345" s="8" t="n">
        <v>45843</v>
      </c>
      <c r="B345" s="9" t="inlineStr">
        <is>
          <t>출금</t>
        </is>
      </c>
      <c r="C345" s="28" t="n">
        <v>-10600</v>
      </c>
      <c r="D345" s="28">
        <f>D344+C345</f>
        <v/>
      </c>
      <c r="E345" s="9" t="inlineStr">
        <is>
          <t>일반이체</t>
        </is>
      </c>
      <c r="F345" s="9" t="inlineStr">
        <is>
          <t>이연 희범 커피</t>
        </is>
      </c>
      <c r="G345" s="9" t="inlineStr">
        <is>
          <t>지원금</t>
        </is>
      </c>
      <c r="H345" s="76" t="inlineStr">
        <is>
          <t>스튜디오 촬영 지원</t>
        </is>
      </c>
    </row>
    <row r="346">
      <c r="A346" s="8" t="n">
        <v>45844</v>
      </c>
      <c r="B346" s="9" t="inlineStr">
        <is>
          <t>출금</t>
        </is>
      </c>
      <c r="C346" s="28" t="n">
        <v>-81800</v>
      </c>
      <c r="D346" s="28">
        <f>D345+C346</f>
        <v/>
      </c>
      <c r="E346" s="9" t="inlineStr">
        <is>
          <t>일반이체</t>
        </is>
      </c>
      <c r="F346" s="9" t="inlineStr">
        <is>
          <t>이연 희범 뒷풀이</t>
        </is>
      </c>
      <c r="G346" s="9" t="inlineStr">
        <is>
          <t>지원금</t>
        </is>
      </c>
      <c r="H346" s="76" t="inlineStr">
        <is>
          <t>스튜디오 촬영 지원</t>
        </is>
      </c>
    </row>
    <row r="347">
      <c r="A347" s="29" t="n">
        <v>45847</v>
      </c>
      <c r="B347" s="76" t="inlineStr">
        <is>
          <t>입금</t>
        </is>
      </c>
      <c r="C347" s="26" t="n">
        <v>15000</v>
      </c>
      <c r="D347" s="31">
        <f>D346+C347</f>
        <v/>
      </c>
      <c r="E347" s="76" t="inlineStr">
        <is>
          <t>일반입금</t>
        </is>
      </c>
      <c r="F347" s="76" t="inlineStr">
        <is>
          <t>게스트(김민주)</t>
        </is>
      </c>
      <c r="G347" s="76" t="inlineStr">
        <is>
          <t>게스트</t>
        </is>
      </c>
      <c r="H347" s="76" t="inlineStr">
        <is>
          <t>7/9 게스트</t>
        </is>
      </c>
    </row>
    <row r="348">
      <c r="A348" s="29" t="inlineStr">
        <is>
          <t>2025.07.10 00:00:00</t>
        </is>
      </c>
      <c r="B348" s="76" t="inlineStr">
        <is>
          <t>입금</t>
        </is>
      </c>
      <c r="C348" s="26" t="n">
        <v>15000</v>
      </c>
      <c r="D348" s="31">
        <f>D347+C348</f>
        <v/>
      </c>
      <c r="E348" s="76" t="inlineStr">
        <is>
          <t>일반입금</t>
        </is>
      </c>
      <c r="F348" s="76" t="inlineStr">
        <is>
          <t>게스트(안재영)</t>
        </is>
      </c>
      <c r="G348" s="76" t="inlineStr">
        <is>
          <t>게스트</t>
        </is>
      </c>
      <c r="H348" s="76" t="inlineStr">
        <is>
          <t>7/9 게스트</t>
        </is>
      </c>
    </row>
    <row r="349">
      <c r="A349" s="29" t="inlineStr">
        <is>
          <t>2025.07.11 00:00:00</t>
        </is>
      </c>
      <c r="B349" s="76" t="inlineStr">
        <is>
          <t>입금</t>
        </is>
      </c>
      <c r="C349" s="26" t="n">
        <v>45000</v>
      </c>
      <c r="D349" s="31">
        <f>D348+C349</f>
        <v/>
      </c>
      <c r="E349" s="76" t="inlineStr">
        <is>
          <t>일반입금</t>
        </is>
      </c>
      <c r="F349" s="76" t="inlineStr">
        <is>
          <t>정하림게스트 3인</t>
        </is>
      </c>
      <c r="G349" s="76" t="inlineStr">
        <is>
          <t>게스트</t>
        </is>
      </c>
      <c r="H349" s="76" t="inlineStr">
        <is>
          <t>7/9 게스트</t>
        </is>
      </c>
    </row>
    <row r="350">
      <c r="A350" s="29" t="inlineStr">
        <is>
          <t>2025.07.11 00:00:00</t>
        </is>
      </c>
      <c r="B350" s="76" t="inlineStr">
        <is>
          <t>입금</t>
        </is>
      </c>
      <c r="C350" s="26" t="n">
        <v>15000</v>
      </c>
      <c r="D350" s="31">
        <f>D349+C350</f>
        <v/>
      </c>
      <c r="E350" s="76" t="inlineStr">
        <is>
          <t>일반입금</t>
        </is>
      </c>
      <c r="F350" s="76" t="inlineStr">
        <is>
          <t>게스트(브루노)</t>
        </is>
      </c>
      <c r="G350" s="76" t="inlineStr">
        <is>
          <t>게스트</t>
        </is>
      </c>
      <c r="H350" s="76" t="inlineStr">
        <is>
          <t>7/9 게스트</t>
        </is>
      </c>
    </row>
    <row r="351">
      <c r="A351" s="8" t="n">
        <v>45853</v>
      </c>
      <c r="B351" s="9" t="inlineStr">
        <is>
          <t>출금</t>
        </is>
      </c>
      <c r="C351" s="28" t="n">
        <v>-280500</v>
      </c>
      <c r="D351" s="28">
        <f>D350+C351</f>
        <v/>
      </c>
      <c r="E351" s="9" t="inlineStr">
        <is>
          <t>일반이체</t>
        </is>
      </c>
      <c r="F351" s="9" t="inlineStr">
        <is>
          <t>양말 제작 계약금</t>
        </is>
      </c>
      <c r="G351" s="9" t="inlineStr">
        <is>
          <t>팀 양말</t>
        </is>
      </c>
    </row>
    <row r="352">
      <c r="A352" s="29" t="n">
        <v>45861</v>
      </c>
      <c r="B352" s="76" t="inlineStr">
        <is>
          <t>입금</t>
        </is>
      </c>
      <c r="C352" s="26" t="n">
        <v>60000</v>
      </c>
      <c r="D352" s="31">
        <f>D351+C352</f>
        <v/>
      </c>
      <c r="E352" s="76" t="inlineStr">
        <is>
          <t>일반입금</t>
        </is>
      </c>
      <c r="F352" s="76" t="inlineStr">
        <is>
          <t>민주 동헌</t>
        </is>
      </c>
      <c r="G352" s="76" t="inlineStr">
        <is>
          <t>8월 회비</t>
        </is>
      </c>
    </row>
    <row r="353">
      <c r="A353" s="29" t="n">
        <v>45861</v>
      </c>
      <c r="B353" s="76" t="inlineStr">
        <is>
          <t>입금</t>
        </is>
      </c>
      <c r="C353" s="26" t="n">
        <v>30000</v>
      </c>
      <c r="D353" s="31">
        <f>D352+C353</f>
        <v/>
      </c>
      <c r="E353" s="76" t="inlineStr">
        <is>
          <t>일반입금</t>
        </is>
      </c>
      <c r="F353" s="76" t="inlineStr">
        <is>
          <t>심지수</t>
        </is>
      </c>
      <c r="G353" s="76" t="inlineStr">
        <is>
          <t>8월 회비</t>
        </is>
      </c>
      <c r="H353" s="76" t="inlineStr">
        <is>
          <t>휴면-&gt;9월회비로 이월</t>
        </is>
      </c>
    </row>
    <row r="354">
      <c r="A354" s="29" t="n">
        <v>45861</v>
      </c>
      <c r="B354" s="76" t="inlineStr">
        <is>
          <t>입금</t>
        </is>
      </c>
      <c r="C354" s="26" t="n">
        <v>10000</v>
      </c>
      <c r="D354" s="31">
        <f>D353+C354</f>
        <v/>
      </c>
      <c r="E354" s="76" t="inlineStr">
        <is>
          <t>일반입금</t>
        </is>
      </c>
      <c r="F354" s="76" t="inlineStr">
        <is>
          <t>홍순인</t>
        </is>
      </c>
      <c r="G354" s="76" t="inlineStr">
        <is>
          <t>8월 회비</t>
        </is>
      </c>
    </row>
    <row r="355">
      <c r="A355" s="29" t="n">
        <v>45861</v>
      </c>
      <c r="B355" s="76" t="inlineStr">
        <is>
          <t>입금</t>
        </is>
      </c>
      <c r="C355" s="26" t="n">
        <v>30000</v>
      </c>
      <c r="D355" s="31">
        <f>D354+C355</f>
        <v/>
      </c>
      <c r="E355" s="76" t="inlineStr">
        <is>
          <t>일반입금</t>
        </is>
      </c>
      <c r="F355" s="76" t="inlineStr">
        <is>
          <t>도민환</t>
        </is>
      </c>
      <c r="G355" s="76" t="inlineStr">
        <is>
          <t>8월 회비</t>
        </is>
      </c>
    </row>
    <row r="356">
      <c r="A356" s="29" t="n">
        <v>45861</v>
      </c>
      <c r="B356" s="76" t="inlineStr">
        <is>
          <t>입금</t>
        </is>
      </c>
      <c r="C356" s="26" t="n">
        <v>10000</v>
      </c>
      <c r="D356" s="31">
        <f>D355+C356</f>
        <v/>
      </c>
      <c r="E356" s="76" t="inlineStr">
        <is>
          <t>일반입금</t>
        </is>
      </c>
      <c r="F356" s="76" t="inlineStr">
        <is>
          <t>원재식</t>
        </is>
      </c>
      <c r="G356" s="76" t="inlineStr">
        <is>
          <t>8월 회비</t>
        </is>
      </c>
    </row>
    <row r="357">
      <c r="A357" s="29" t="n">
        <v>45861</v>
      </c>
      <c r="B357" s="76" t="inlineStr">
        <is>
          <t>입금</t>
        </is>
      </c>
      <c r="C357" s="26" t="n">
        <v>30000</v>
      </c>
      <c r="D357" s="31">
        <f>D356+C357</f>
        <v/>
      </c>
      <c r="E357" s="76" t="inlineStr">
        <is>
          <t>일반입금</t>
        </is>
      </c>
      <c r="F357" s="76" t="inlineStr">
        <is>
          <t>박혜란</t>
        </is>
      </c>
      <c r="G357" s="76" t="inlineStr">
        <is>
          <t>8월 회비</t>
        </is>
      </c>
    </row>
    <row r="358">
      <c r="A358" s="29" t="n">
        <v>45861</v>
      </c>
      <c r="B358" s="76" t="inlineStr">
        <is>
          <t>입금</t>
        </is>
      </c>
      <c r="C358" s="26" t="n">
        <v>30000</v>
      </c>
      <c r="D358" s="31">
        <f>D357+C358</f>
        <v/>
      </c>
      <c r="E358" s="76" t="inlineStr">
        <is>
          <t>일반입금</t>
        </is>
      </c>
      <c r="F358" s="76" t="inlineStr">
        <is>
          <t>한승재</t>
        </is>
      </c>
      <c r="G358" s="76" t="inlineStr">
        <is>
          <t>8월 회비</t>
        </is>
      </c>
    </row>
    <row r="359">
      <c r="A359" s="29" t="n">
        <v>45861</v>
      </c>
      <c r="B359" s="76" t="inlineStr">
        <is>
          <t>입금</t>
        </is>
      </c>
      <c r="C359" s="26" t="n">
        <v>30000</v>
      </c>
      <c r="D359" s="31">
        <f>D358+C359</f>
        <v/>
      </c>
      <c r="E359" s="76" t="inlineStr">
        <is>
          <t>일반입금</t>
        </is>
      </c>
      <c r="F359" s="76" t="inlineStr">
        <is>
          <t>김두은</t>
        </is>
      </c>
      <c r="G359" s="76" t="inlineStr">
        <is>
          <t>8월 회비</t>
        </is>
      </c>
      <c r="H359" s="76" t="inlineStr">
        <is>
          <t>휴면-&gt;9월회비로 이월</t>
        </is>
      </c>
    </row>
    <row r="360">
      <c r="A360" s="29" t="n">
        <v>45861</v>
      </c>
      <c r="B360" s="76" t="inlineStr">
        <is>
          <t>입금</t>
        </is>
      </c>
      <c r="C360" s="26" t="n">
        <v>10000</v>
      </c>
      <c r="D360" s="31">
        <f>D359+C360</f>
        <v/>
      </c>
      <c r="E360" s="76" t="inlineStr">
        <is>
          <t>일반입금</t>
        </is>
      </c>
      <c r="F360" s="76" t="inlineStr">
        <is>
          <t>최승호</t>
        </is>
      </c>
      <c r="G360" s="76" t="inlineStr">
        <is>
          <t>8월 회비</t>
        </is>
      </c>
    </row>
    <row r="361">
      <c r="A361" s="29" t="n">
        <v>45861</v>
      </c>
      <c r="B361" s="76" t="inlineStr">
        <is>
          <t>입금</t>
        </is>
      </c>
      <c r="C361" s="26" t="n">
        <v>30000</v>
      </c>
      <c r="D361" s="31">
        <f>D360+C361</f>
        <v/>
      </c>
      <c r="E361" s="76" t="inlineStr">
        <is>
          <t>일반입금</t>
        </is>
      </c>
      <c r="F361" s="76" t="inlineStr">
        <is>
          <t>이민국</t>
        </is>
      </c>
      <c r="G361" s="76" t="inlineStr">
        <is>
          <t>8월 회비</t>
        </is>
      </c>
    </row>
    <row r="362">
      <c r="A362" s="29" t="n">
        <v>45861</v>
      </c>
      <c r="B362" s="76" t="inlineStr">
        <is>
          <t>입금</t>
        </is>
      </c>
      <c r="C362" s="26" t="n">
        <v>30000</v>
      </c>
      <c r="D362" s="31">
        <f>D361+C362</f>
        <v/>
      </c>
      <c r="E362" s="76" t="inlineStr">
        <is>
          <t>일반입금</t>
        </is>
      </c>
      <c r="F362" s="76" t="inlineStr">
        <is>
          <t>이인선</t>
        </is>
      </c>
      <c r="G362" s="76" t="inlineStr">
        <is>
          <t>8월 회비</t>
        </is>
      </c>
    </row>
    <row r="363">
      <c r="A363" s="29" t="n">
        <v>45861</v>
      </c>
      <c r="B363" s="76" t="inlineStr">
        <is>
          <t>입금</t>
        </is>
      </c>
      <c r="C363" s="26" t="n">
        <v>20000</v>
      </c>
      <c r="D363" s="31">
        <f>D362+C363</f>
        <v/>
      </c>
      <c r="E363" s="76" t="inlineStr">
        <is>
          <t>일반입금</t>
        </is>
      </c>
      <c r="F363" s="76" t="inlineStr">
        <is>
          <t>이연 희범</t>
        </is>
      </c>
      <c r="G363" s="76" t="inlineStr">
        <is>
          <t>8월 회비</t>
        </is>
      </c>
    </row>
    <row r="364">
      <c r="A364" s="29" t="n">
        <v>45861</v>
      </c>
      <c r="B364" s="76" t="inlineStr">
        <is>
          <t>입금</t>
        </is>
      </c>
      <c r="C364" s="26" t="n">
        <v>30000</v>
      </c>
      <c r="D364" s="31">
        <f>D363+C364</f>
        <v/>
      </c>
      <c r="E364" s="76" t="inlineStr">
        <is>
          <t>일반입금</t>
        </is>
      </c>
      <c r="F364" s="76" t="inlineStr">
        <is>
          <t>최신비</t>
        </is>
      </c>
      <c r="G364" s="76" t="inlineStr">
        <is>
          <t>8월 회비</t>
        </is>
      </c>
    </row>
    <row r="365">
      <c r="A365" s="29" t="n">
        <v>45861</v>
      </c>
      <c r="B365" s="76" t="inlineStr">
        <is>
          <t>입금</t>
        </is>
      </c>
      <c r="C365" s="26" t="n">
        <v>10000</v>
      </c>
      <c r="D365" s="31">
        <f>D364+C365</f>
        <v/>
      </c>
      <c r="E365" s="76" t="inlineStr">
        <is>
          <t>일반입금</t>
        </is>
      </c>
      <c r="F365" s="76" t="inlineStr">
        <is>
          <t>박승한</t>
        </is>
      </c>
      <c r="G365" s="76" t="inlineStr">
        <is>
          <t>8월 회비</t>
        </is>
      </c>
    </row>
    <row r="366">
      <c r="A366" s="29" t="n">
        <v>45861</v>
      </c>
      <c r="B366" s="76" t="inlineStr">
        <is>
          <t>입금</t>
        </is>
      </c>
      <c r="C366" s="26" t="n">
        <v>30000</v>
      </c>
      <c r="D366" s="31">
        <f>D365+C366</f>
        <v/>
      </c>
      <c r="E366" s="76" t="inlineStr">
        <is>
          <t>일반입금</t>
        </is>
      </c>
      <c r="F366" s="76" t="inlineStr">
        <is>
          <t>박원주</t>
        </is>
      </c>
      <c r="G366" s="76" t="inlineStr">
        <is>
          <t>8월 회비</t>
        </is>
      </c>
    </row>
    <row r="367">
      <c r="A367" s="8" t="n">
        <v>45861</v>
      </c>
      <c r="B367" s="9" t="inlineStr">
        <is>
          <t>출금</t>
        </is>
      </c>
      <c r="C367" s="28" t="n">
        <v>-420000</v>
      </c>
      <c r="D367" s="28">
        <f>D366+C367</f>
        <v/>
      </c>
      <c r="E367" s="9" t="inlineStr">
        <is>
          <t>일반이체</t>
        </is>
      </c>
      <c r="F367" s="9" t="inlineStr">
        <is>
          <t>8월 구장 예약</t>
        </is>
      </c>
      <c r="G367" s="9" t="inlineStr">
        <is>
          <t>8월 구장</t>
        </is>
      </c>
      <c r="H367" s="76" t="inlineStr">
        <is>
          <t>8월 전체</t>
        </is>
      </c>
    </row>
    <row r="368">
      <c r="A368" s="16" t="n">
        <v>45862</v>
      </c>
      <c r="B368" s="17" t="inlineStr">
        <is>
          <t>입금</t>
        </is>
      </c>
      <c r="C368" s="32" t="n">
        <v>30000</v>
      </c>
      <c r="D368" s="33">
        <f>D367+C368</f>
        <v/>
      </c>
      <c r="E368" s="17" t="inlineStr">
        <is>
          <t>일반입금</t>
        </is>
      </c>
      <c r="F368" s="17" t="inlineStr">
        <is>
          <t>김우경</t>
        </is>
      </c>
      <c r="G368" s="17" t="inlineStr">
        <is>
          <t>8월 회비</t>
        </is>
      </c>
    </row>
    <row r="369">
      <c r="A369" s="29" t="n">
        <v>45862</v>
      </c>
      <c r="B369" s="76" t="inlineStr">
        <is>
          <t>입금</t>
        </is>
      </c>
      <c r="C369" s="26" t="n">
        <v>30000</v>
      </c>
      <c r="D369" s="31">
        <f>D368+C369</f>
        <v/>
      </c>
      <c r="E369" s="76" t="inlineStr">
        <is>
          <t>일반입금</t>
        </is>
      </c>
      <c r="F369" s="76" t="inlineStr">
        <is>
          <t>박민규</t>
        </is>
      </c>
      <c r="G369" s="76" t="inlineStr">
        <is>
          <t>8월 회비</t>
        </is>
      </c>
    </row>
    <row r="370">
      <c r="A370" s="29" t="n">
        <v>45862</v>
      </c>
      <c r="B370" s="76" t="inlineStr">
        <is>
          <t>입금</t>
        </is>
      </c>
      <c r="C370" s="26" t="n">
        <v>30000</v>
      </c>
      <c r="D370" s="31">
        <f>D369+C370</f>
        <v/>
      </c>
      <c r="E370" s="76" t="inlineStr">
        <is>
          <t>일반입금</t>
        </is>
      </c>
      <c r="F370" s="76" t="inlineStr">
        <is>
          <t>임한</t>
        </is>
      </c>
      <c r="G370" s="76" t="inlineStr">
        <is>
          <t>8월 회비</t>
        </is>
      </c>
    </row>
    <row r="371">
      <c r="A371" s="29" t="n">
        <v>45862</v>
      </c>
      <c r="B371" s="76" t="inlineStr">
        <is>
          <t>입금</t>
        </is>
      </c>
      <c r="C371" s="26" t="n">
        <v>30000</v>
      </c>
      <c r="D371" s="31">
        <f>D370+C371</f>
        <v/>
      </c>
      <c r="E371" s="76" t="inlineStr">
        <is>
          <t>일반입금</t>
        </is>
      </c>
      <c r="F371" s="76" t="inlineStr">
        <is>
          <t>마상현</t>
        </is>
      </c>
      <c r="G371" s="76" t="inlineStr">
        <is>
          <t>8월 회비</t>
        </is>
      </c>
    </row>
    <row r="372">
      <c r="A372" s="16" t="n">
        <v>45862</v>
      </c>
      <c r="B372" s="17" t="inlineStr">
        <is>
          <t>출금</t>
        </is>
      </c>
      <c r="C372" s="32" t="n">
        <v>-30000</v>
      </c>
      <c r="D372" s="32">
        <f>D371+C372</f>
        <v/>
      </c>
      <c r="E372" s="17" t="inlineStr">
        <is>
          <t>간편이체</t>
        </is>
      </c>
      <c r="F372" s="17" t="inlineStr">
        <is>
          <t>김우경 환불</t>
        </is>
      </c>
      <c r="G372" s="17" t="inlineStr">
        <is>
          <t>8월 회비 환불</t>
        </is>
      </c>
      <c r="H372" s="76" t="inlineStr">
        <is>
          <t>7월 휴면으로 7월회비 8월로 이월</t>
        </is>
      </c>
    </row>
    <row r="373">
      <c r="A373" s="29" t="n">
        <v>45862</v>
      </c>
      <c r="B373" s="76" t="inlineStr">
        <is>
          <t>입금</t>
        </is>
      </c>
      <c r="C373" s="26" t="n">
        <v>30000</v>
      </c>
      <c r="D373" s="31">
        <f>D372+C373</f>
        <v/>
      </c>
      <c r="E373" s="76" t="inlineStr">
        <is>
          <t>일반입금</t>
        </is>
      </c>
      <c r="F373" s="76" t="inlineStr">
        <is>
          <t>정하림</t>
        </is>
      </c>
      <c r="G373" s="76" t="inlineStr">
        <is>
          <t>8월 회비</t>
        </is>
      </c>
    </row>
    <row r="374">
      <c r="A374" s="29" t="n">
        <v>45862</v>
      </c>
      <c r="B374" s="76" t="inlineStr">
        <is>
          <t>입금</t>
        </is>
      </c>
      <c r="C374" s="26" t="n">
        <v>30000</v>
      </c>
      <c r="D374" s="31">
        <f>D373+C374</f>
        <v/>
      </c>
      <c r="E374" s="76" t="inlineStr">
        <is>
          <t>일반입금</t>
        </is>
      </c>
      <c r="F374" s="76" t="inlineStr">
        <is>
          <t>배성은</t>
        </is>
      </c>
      <c r="G374" s="76" t="inlineStr">
        <is>
          <t>8월 회비</t>
        </is>
      </c>
    </row>
    <row r="375">
      <c r="A375" s="29" t="n">
        <v>45862</v>
      </c>
      <c r="B375" s="83" t="inlineStr">
        <is>
          <t>입금</t>
        </is>
      </c>
      <c r="C375" s="36" t="n">
        <v>15000</v>
      </c>
      <c r="D375" s="36">
        <f>D374+C375</f>
        <v/>
      </c>
      <c r="E375" s="83" t="inlineStr">
        <is>
          <t>일반입금</t>
        </is>
      </c>
      <c r="F375" s="83" t="inlineStr">
        <is>
          <t>게스트(조수경)</t>
        </is>
      </c>
      <c r="G375" s="83" t="inlineStr">
        <is>
          <t>게스트</t>
        </is>
      </c>
      <c r="H375" s="76" t="inlineStr">
        <is>
          <t>7/23 게스트</t>
        </is>
      </c>
    </row>
    <row r="376">
      <c r="A376" s="29" t="n">
        <v>45863</v>
      </c>
      <c r="B376" s="76" t="inlineStr">
        <is>
          <t>입금</t>
        </is>
      </c>
      <c r="C376" s="26" t="n">
        <v>30000</v>
      </c>
      <c r="D376" s="31">
        <f>D375+C376</f>
        <v/>
      </c>
      <c r="E376" s="76" t="inlineStr">
        <is>
          <t>일반입금</t>
        </is>
      </c>
      <c r="F376" s="76" t="inlineStr">
        <is>
          <t>장세영</t>
        </is>
      </c>
      <c r="G376" s="76" t="inlineStr">
        <is>
          <t>8월 회비</t>
        </is>
      </c>
    </row>
    <row r="377">
      <c r="A377" s="29" t="n">
        <v>45863</v>
      </c>
      <c r="B377" s="76" t="inlineStr">
        <is>
          <t>입금</t>
        </is>
      </c>
      <c r="C377" s="26" t="n">
        <v>30000</v>
      </c>
      <c r="D377" s="31">
        <f>D376+C377</f>
        <v/>
      </c>
      <c r="E377" s="76" t="inlineStr">
        <is>
          <t>일반입금</t>
        </is>
      </c>
      <c r="F377" s="76" t="inlineStr">
        <is>
          <t>박지원</t>
        </is>
      </c>
      <c r="G377" s="76" t="inlineStr">
        <is>
          <t>8월 회비</t>
        </is>
      </c>
      <c r="H377" s="76" t="inlineStr">
        <is>
          <t>휴면-&gt;9월회비로 이월</t>
        </is>
      </c>
    </row>
    <row r="378">
      <c r="A378" s="29" t="n">
        <v>45863</v>
      </c>
      <c r="B378" s="76" t="inlineStr">
        <is>
          <t>입금</t>
        </is>
      </c>
      <c r="C378" s="26" t="n">
        <v>30000</v>
      </c>
      <c r="D378" s="31">
        <f>D377+C378</f>
        <v/>
      </c>
      <c r="E378" s="76" t="inlineStr">
        <is>
          <t>일반입금</t>
        </is>
      </c>
      <c r="F378" s="76" t="inlineStr">
        <is>
          <t>표승철</t>
        </is>
      </c>
      <c r="G378" s="76" t="inlineStr">
        <is>
          <t>8월 회비</t>
        </is>
      </c>
    </row>
    <row r="379">
      <c r="A379" s="29" t="n">
        <v>45864</v>
      </c>
      <c r="B379" s="76" t="inlineStr">
        <is>
          <t>입금</t>
        </is>
      </c>
      <c r="C379" s="26" t="n">
        <v>83</v>
      </c>
      <c r="D379" s="31">
        <f>D378+C379</f>
        <v/>
      </c>
      <c r="E379" s="76" t="inlineStr">
        <is>
          <t>일반입금</t>
        </is>
      </c>
      <c r="F379" s="76" t="inlineStr">
        <is>
          <t>입출금통장이자</t>
        </is>
      </c>
      <c r="G379" s="76" t="inlineStr">
        <is>
          <t>기타</t>
        </is>
      </c>
    </row>
    <row r="380">
      <c r="A380" s="29" t="n">
        <v>45864</v>
      </c>
      <c r="B380" s="76" t="inlineStr">
        <is>
          <t>입금</t>
        </is>
      </c>
      <c r="C380" s="26" t="n">
        <v>30000</v>
      </c>
      <c r="D380" s="31">
        <f>D379+C380</f>
        <v/>
      </c>
      <c r="E380" s="76" t="inlineStr">
        <is>
          <t>일반입금</t>
        </is>
      </c>
      <c r="F380" s="76" t="inlineStr">
        <is>
          <t>조수경</t>
        </is>
      </c>
      <c r="G380" s="76" t="inlineStr">
        <is>
          <t>8월 회비</t>
        </is>
      </c>
    </row>
    <row r="381">
      <c r="A381" s="29" t="n">
        <v>45866</v>
      </c>
      <c r="B381" s="76" t="inlineStr">
        <is>
          <t>입금</t>
        </is>
      </c>
      <c r="C381" s="26" t="n">
        <v>30000</v>
      </c>
      <c r="D381" s="31">
        <f>D380+C381</f>
        <v/>
      </c>
      <c r="E381" s="76" t="inlineStr">
        <is>
          <t>일반입금</t>
        </is>
      </c>
      <c r="F381" s="76" t="inlineStr">
        <is>
          <t>안재영</t>
        </is>
      </c>
      <c r="G381" s="76" t="inlineStr">
        <is>
          <t>8월 회비</t>
        </is>
      </c>
    </row>
    <row r="382">
      <c r="A382" s="29" t="n">
        <v>45866</v>
      </c>
      <c r="B382" s="76" t="inlineStr">
        <is>
          <t>입금</t>
        </is>
      </c>
      <c r="C382" s="26" t="n">
        <v>30000</v>
      </c>
      <c r="D382" s="31">
        <f>D381+C382</f>
        <v/>
      </c>
      <c r="E382" s="76" t="inlineStr">
        <is>
          <t>일반입금</t>
        </is>
      </c>
      <c r="F382" s="76" t="inlineStr">
        <is>
          <t>브루노(박별이)</t>
        </is>
      </c>
      <c r="G382" s="76" t="inlineStr">
        <is>
          <t>8월 회비</t>
        </is>
      </c>
    </row>
    <row r="383">
      <c r="A383" s="29" t="n">
        <v>45868</v>
      </c>
      <c r="B383" s="76" t="inlineStr">
        <is>
          <t>입금</t>
        </is>
      </c>
      <c r="C383" s="26" t="n">
        <v>15000</v>
      </c>
      <c r="D383" s="31">
        <f>D382+C383</f>
        <v/>
      </c>
      <c r="E383" s="76" t="inlineStr">
        <is>
          <t>일반입금</t>
        </is>
      </c>
      <c r="F383" s="76" t="inlineStr">
        <is>
          <t>게스트(브루노)</t>
        </is>
      </c>
      <c r="G383" s="76" t="inlineStr">
        <is>
          <t>게스트</t>
        </is>
      </c>
      <c r="H383" s="76" t="inlineStr">
        <is>
          <t>7/30 게스트</t>
        </is>
      </c>
    </row>
    <row r="384">
      <c r="A384" s="29" t="n">
        <v>45868</v>
      </c>
      <c r="B384" s="76" t="inlineStr">
        <is>
          <t>입금</t>
        </is>
      </c>
      <c r="C384" s="26" t="n">
        <v>15000</v>
      </c>
      <c r="D384" s="31">
        <f>D383+C384</f>
        <v/>
      </c>
      <c r="E384" s="76" t="inlineStr">
        <is>
          <t>일반입금</t>
        </is>
      </c>
      <c r="F384" s="76" t="inlineStr">
        <is>
          <t>게스트(안재영)</t>
        </is>
      </c>
      <c r="G384" s="76" t="inlineStr">
        <is>
          <t>게스트</t>
        </is>
      </c>
      <c r="H384" s="76" t="inlineStr">
        <is>
          <t>7/30 게스트</t>
        </is>
      </c>
    </row>
    <row r="385">
      <c r="A385" s="29" t="n">
        <v>45869</v>
      </c>
      <c r="B385" s="83" t="inlineStr">
        <is>
          <t>입금</t>
        </is>
      </c>
      <c r="C385" s="36" t="n">
        <v>15000</v>
      </c>
      <c r="D385" s="36">
        <f>D384+C385</f>
        <v/>
      </c>
      <c r="E385" s="83" t="inlineStr">
        <is>
          <t>일반입금</t>
        </is>
      </c>
      <c r="F385" s="83" t="inlineStr">
        <is>
          <t>승호게스트(피터)</t>
        </is>
      </c>
      <c r="G385" s="83" t="inlineStr">
        <is>
          <t>게스트</t>
        </is>
      </c>
      <c r="H385" s="83" t="inlineStr">
        <is>
          <t>7/30 게스트</t>
        </is>
      </c>
    </row>
    <row r="386">
      <c r="A386" s="29" t="n"/>
      <c r="B386" s="14" t="inlineStr">
        <is>
          <t>6월 이월금액</t>
        </is>
      </c>
      <c r="C386" s="27">
        <f>D338</f>
        <v/>
      </c>
    </row>
    <row r="387">
      <c r="A387" s="29" t="n"/>
      <c r="B387" s="14" t="inlineStr">
        <is>
          <t>7월 입금</t>
        </is>
      </c>
      <c r="C387" s="27" t="n">
        <v>900083</v>
      </c>
    </row>
    <row r="388">
      <c r="A388" s="29" t="n"/>
      <c r="B388" s="14" t="inlineStr">
        <is>
          <t>7월 출금</t>
        </is>
      </c>
      <c r="C388" s="27" t="n">
        <v>-828900</v>
      </c>
    </row>
    <row r="389">
      <c r="A389" s="8" t="n">
        <v>45874</v>
      </c>
      <c r="B389" s="9" t="inlineStr">
        <is>
          <t>출금</t>
        </is>
      </c>
      <c r="C389" s="28" t="n">
        <v>-13900</v>
      </c>
      <c r="D389" s="28">
        <f>D385+C389</f>
        <v/>
      </c>
      <c r="E389" s="9" t="inlineStr">
        <is>
          <t>일반이체</t>
        </is>
      </c>
      <c r="F389" s="9" t="inlineStr">
        <is>
          <t>쿠팡(공기주입기)</t>
        </is>
      </c>
      <c r="G389" s="9" t="inlineStr">
        <is>
          <t>소모품비</t>
        </is>
      </c>
    </row>
    <row r="390">
      <c r="A390" s="29" t="n">
        <v>45875</v>
      </c>
      <c r="B390" s="83" t="inlineStr">
        <is>
          <t>입금</t>
        </is>
      </c>
      <c r="C390" s="36" t="n">
        <v>15000</v>
      </c>
      <c r="D390" s="36">
        <f>D389+C390</f>
        <v/>
      </c>
      <c r="E390" s="83" t="inlineStr">
        <is>
          <t>일반입금</t>
        </is>
      </c>
      <c r="F390" s="83" t="inlineStr">
        <is>
          <t>임한게스트</t>
        </is>
      </c>
      <c r="G390" s="83" t="inlineStr">
        <is>
          <t>게스트</t>
        </is>
      </c>
      <c r="H390" s="83" t="inlineStr">
        <is>
          <t>7/30 게스트</t>
        </is>
      </c>
    </row>
    <row r="391">
      <c r="A391" s="29" t="n">
        <v>45875</v>
      </c>
      <c r="B391" s="83" t="inlineStr">
        <is>
          <t>입금</t>
        </is>
      </c>
      <c r="C391" s="36" t="n">
        <v>15000</v>
      </c>
      <c r="D391" s="36">
        <f>D390+C391</f>
        <v/>
      </c>
      <c r="E391" s="83" t="inlineStr">
        <is>
          <t>일반입금</t>
        </is>
      </c>
      <c r="F391" s="83" t="inlineStr">
        <is>
          <t>임한게스트</t>
        </is>
      </c>
      <c r="G391" s="83" t="inlineStr">
        <is>
          <t>게스트</t>
        </is>
      </c>
      <c r="H391" s="83" t="inlineStr">
        <is>
          <t>8/6 게스트</t>
        </is>
      </c>
    </row>
    <row r="392">
      <c r="A392" s="29" t="n">
        <v>45875</v>
      </c>
      <c r="B392" s="83" t="inlineStr">
        <is>
          <t>입금</t>
        </is>
      </c>
      <c r="C392" s="36" t="n">
        <v>15000</v>
      </c>
      <c r="D392" s="36">
        <f>D391+C392</f>
        <v/>
      </c>
      <c r="E392" s="83" t="inlineStr">
        <is>
          <t>일반입금</t>
        </is>
      </c>
      <c r="F392" s="83" t="inlineStr">
        <is>
          <t>민규게스트(김시우)</t>
        </is>
      </c>
      <c r="G392" s="83" t="inlineStr">
        <is>
          <t>게스트</t>
        </is>
      </c>
      <c r="H392" s="83" t="inlineStr">
        <is>
          <t>8/6 게스트</t>
        </is>
      </c>
    </row>
    <row r="393">
      <c r="A393" s="29" t="n">
        <v>45876</v>
      </c>
      <c r="B393" s="83" t="inlineStr">
        <is>
          <t>입금</t>
        </is>
      </c>
      <c r="C393" s="36" t="n">
        <v>15000</v>
      </c>
      <c r="D393" s="36">
        <f>D392+C393</f>
        <v/>
      </c>
      <c r="E393" s="83" t="inlineStr">
        <is>
          <t>일반입금</t>
        </is>
      </c>
      <c r="F393" s="83" t="inlineStr">
        <is>
          <t>게스트(박우성)</t>
        </is>
      </c>
      <c r="G393" s="83" t="inlineStr">
        <is>
          <t>게스트</t>
        </is>
      </c>
      <c r="H393" s="83" t="inlineStr">
        <is>
          <t>8/6 게스트</t>
        </is>
      </c>
    </row>
    <row r="394">
      <c r="A394" s="16" t="n">
        <v>45877</v>
      </c>
      <c r="B394" s="41" t="inlineStr">
        <is>
          <t>입금</t>
        </is>
      </c>
      <c r="C394" s="40" t="n">
        <v>500000</v>
      </c>
      <c r="D394" s="40">
        <f>D393+C394</f>
        <v/>
      </c>
      <c r="E394" s="41" t="inlineStr">
        <is>
          <t>일반입금</t>
        </is>
      </c>
      <c r="F394" s="41" t="inlineStr">
        <is>
          <t>박지영</t>
        </is>
      </c>
      <c r="G394" s="41" t="inlineStr">
        <is>
          <t>실수(상계처리)</t>
        </is>
      </c>
    </row>
    <row r="395">
      <c r="A395" s="16" t="n">
        <v>45877</v>
      </c>
      <c r="B395" s="17" t="inlineStr">
        <is>
          <t>출금</t>
        </is>
      </c>
      <c r="C395" s="32" t="n">
        <v>-500000</v>
      </c>
      <c r="D395" s="32">
        <f>D394+C395</f>
        <v/>
      </c>
      <c r="E395" s="17" t="inlineStr">
        <is>
          <t>일반이체</t>
        </is>
      </c>
      <c r="F395" s="17" t="inlineStr">
        <is>
          <t>박승한</t>
        </is>
      </c>
      <c r="G395" s="17" t="inlineStr">
        <is>
          <t>실수(상계처리)</t>
        </is>
      </c>
    </row>
    <row r="396">
      <c r="A396" s="29" t="n">
        <v>45880</v>
      </c>
      <c r="B396" s="83" t="inlineStr">
        <is>
          <t>입금</t>
        </is>
      </c>
      <c r="C396" s="36" t="n">
        <v>15000</v>
      </c>
      <c r="D396" s="36">
        <f>D395+C396</f>
        <v/>
      </c>
      <c r="E396" s="83" t="inlineStr">
        <is>
          <t>일반입금</t>
        </is>
      </c>
      <c r="F396" s="83" t="inlineStr">
        <is>
          <t>하림게스트</t>
        </is>
      </c>
      <c r="G396" s="83" t="inlineStr">
        <is>
          <t>게스트</t>
        </is>
      </c>
      <c r="H396" s="83" t="inlineStr">
        <is>
          <t>8/6 게스트</t>
        </is>
      </c>
    </row>
    <row r="397">
      <c r="A397" s="8" t="n">
        <v>45881</v>
      </c>
      <c r="B397" s="9" t="inlineStr">
        <is>
          <t>출금</t>
        </is>
      </c>
      <c r="C397" s="28" t="n">
        <v>-280500</v>
      </c>
      <c r="D397" s="28">
        <f>D396+C397</f>
        <v/>
      </c>
      <c r="E397" s="9" t="inlineStr">
        <is>
          <t>일반이체</t>
        </is>
      </c>
      <c r="F397" s="9" t="inlineStr">
        <is>
          <t>양말 제작 잔금</t>
        </is>
      </c>
      <c r="G397" s="9" t="inlineStr">
        <is>
          <t>팀 양말</t>
        </is>
      </c>
    </row>
    <row r="398">
      <c r="A398" s="29" t="n">
        <v>45888</v>
      </c>
      <c r="B398" s="83" t="inlineStr">
        <is>
          <t>입금</t>
        </is>
      </c>
      <c r="C398" s="36" t="n">
        <v>30000</v>
      </c>
      <c r="D398" s="36">
        <f>D397+C398</f>
        <v/>
      </c>
      <c r="E398" s="83" t="inlineStr">
        <is>
          <t>일반입금</t>
        </is>
      </c>
      <c r="F398" s="83" t="inlineStr">
        <is>
          <t>재식게스트(깔래외1)</t>
        </is>
      </c>
      <c r="G398" s="83" t="inlineStr">
        <is>
          <t>게스트</t>
        </is>
      </c>
      <c r="H398" s="83" t="inlineStr">
        <is>
          <t>8/20 게스트</t>
        </is>
      </c>
    </row>
    <row r="399">
      <c r="A399" s="29" t="n">
        <v>45891</v>
      </c>
      <c r="B399" s="83" t="inlineStr">
        <is>
          <t>입금</t>
        </is>
      </c>
      <c r="C399" s="36" t="n">
        <v>60000</v>
      </c>
      <c r="D399" s="36">
        <f>D398+C399</f>
        <v/>
      </c>
      <c r="E399" s="83" t="inlineStr">
        <is>
          <t>일반입금</t>
        </is>
      </c>
      <c r="F399" s="83" t="inlineStr">
        <is>
          <t>민주 동헌</t>
        </is>
      </c>
      <c r="G399" s="83" t="inlineStr">
        <is>
          <t>9월 회비</t>
        </is>
      </c>
    </row>
    <row r="400">
      <c r="A400" s="29" t="n">
        <v>45891</v>
      </c>
      <c r="B400" s="83" t="inlineStr">
        <is>
          <t>입금</t>
        </is>
      </c>
      <c r="C400" s="36" t="n">
        <v>30000</v>
      </c>
      <c r="D400" s="36">
        <f>D399+C400</f>
        <v/>
      </c>
      <c r="E400" s="83" t="inlineStr">
        <is>
          <t>일반입금</t>
        </is>
      </c>
      <c r="F400" s="83" t="inlineStr">
        <is>
          <t>박혜란</t>
        </is>
      </c>
      <c r="G400" s="83" t="inlineStr">
        <is>
          <t>9월 회비</t>
        </is>
      </c>
    </row>
    <row r="401">
      <c r="A401" s="29" t="n">
        <v>45891</v>
      </c>
      <c r="B401" s="83" t="inlineStr">
        <is>
          <t>입금</t>
        </is>
      </c>
      <c r="C401" s="36" t="n">
        <v>30000</v>
      </c>
      <c r="D401" s="36">
        <f>D400+C401</f>
        <v/>
      </c>
      <c r="E401" s="83" t="inlineStr">
        <is>
          <t>일반입금</t>
        </is>
      </c>
      <c r="F401" s="83" t="inlineStr">
        <is>
          <t>이민국</t>
        </is>
      </c>
      <c r="G401" s="83" t="inlineStr">
        <is>
          <t>9월 회비</t>
        </is>
      </c>
    </row>
    <row r="402">
      <c r="A402" s="29" t="n">
        <v>45891</v>
      </c>
      <c r="B402" s="83" t="inlineStr">
        <is>
          <t>입금</t>
        </is>
      </c>
      <c r="C402" s="36" t="n">
        <v>10000</v>
      </c>
      <c r="D402" s="36">
        <f>D401+C402</f>
        <v/>
      </c>
      <c r="E402" s="83" t="inlineStr">
        <is>
          <t>일반입금</t>
        </is>
      </c>
      <c r="F402" s="83" t="inlineStr">
        <is>
          <t>최승호</t>
        </is>
      </c>
      <c r="G402" s="83" t="inlineStr">
        <is>
          <t>9월 회비</t>
        </is>
      </c>
    </row>
    <row r="403">
      <c r="A403" s="29" t="n">
        <v>45891</v>
      </c>
      <c r="B403" s="83" t="inlineStr">
        <is>
          <t>입금</t>
        </is>
      </c>
      <c r="C403" s="36" t="n">
        <v>30000</v>
      </c>
      <c r="D403" s="36">
        <f>D402+C403</f>
        <v/>
      </c>
      <c r="E403" s="83" t="inlineStr">
        <is>
          <t>일반입금</t>
        </is>
      </c>
      <c r="F403" s="83" t="inlineStr">
        <is>
          <t>박원주</t>
        </is>
      </c>
      <c r="G403" s="83" t="inlineStr">
        <is>
          <t>9월 회비</t>
        </is>
      </c>
    </row>
    <row r="404">
      <c r="A404" s="29" t="n">
        <v>45891</v>
      </c>
      <c r="B404" s="83" t="inlineStr">
        <is>
          <t>입금</t>
        </is>
      </c>
      <c r="C404" s="36" t="n">
        <v>10000</v>
      </c>
      <c r="D404" s="36">
        <f>D403+C404</f>
        <v/>
      </c>
      <c r="E404" s="83" t="inlineStr">
        <is>
          <t>일반입금</t>
        </is>
      </c>
      <c r="F404" s="83" t="inlineStr">
        <is>
          <t>원재식</t>
        </is>
      </c>
      <c r="G404" s="83" t="inlineStr">
        <is>
          <t>9월 회비</t>
        </is>
      </c>
    </row>
    <row r="405">
      <c r="A405" s="29" t="n">
        <v>45891</v>
      </c>
      <c r="B405" s="83" t="inlineStr">
        <is>
          <t>입금</t>
        </is>
      </c>
      <c r="C405" s="36" t="n">
        <v>60000</v>
      </c>
      <c r="D405" s="36">
        <f>D404+C405</f>
        <v/>
      </c>
      <c r="E405" s="83" t="inlineStr">
        <is>
          <t>일반입금</t>
        </is>
      </c>
      <c r="F405" s="83" t="inlineStr">
        <is>
          <t>정하림+게스트2인</t>
        </is>
      </c>
      <c r="G405" s="83" t="inlineStr">
        <is>
          <t>9월 회비+게스트</t>
        </is>
      </c>
      <c r="H405" s="83" t="inlineStr">
        <is>
          <t>8/20 게스트</t>
        </is>
      </c>
    </row>
    <row r="406">
      <c r="A406" s="29" t="n">
        <v>45891</v>
      </c>
      <c r="B406" s="83" t="inlineStr">
        <is>
          <t>입금</t>
        </is>
      </c>
      <c r="C406" s="36" t="n">
        <v>10000</v>
      </c>
      <c r="D406" s="36">
        <f>D405+C406</f>
        <v/>
      </c>
      <c r="E406" s="83" t="inlineStr">
        <is>
          <t>일반입금</t>
        </is>
      </c>
      <c r="F406" s="83" t="inlineStr">
        <is>
          <t>홍순인</t>
        </is>
      </c>
      <c r="G406" s="83" t="inlineStr">
        <is>
          <t>9월 회비</t>
        </is>
      </c>
    </row>
    <row r="407">
      <c r="A407" s="8" t="n">
        <v>45891</v>
      </c>
      <c r="B407" s="9" t="inlineStr">
        <is>
          <t>출금</t>
        </is>
      </c>
      <c r="C407" s="28" t="n">
        <v>-960000</v>
      </c>
      <c r="D407" s="28">
        <f>D406+C407</f>
        <v/>
      </c>
      <c r="E407" s="9" t="inlineStr">
        <is>
          <t>일반이체</t>
        </is>
      </c>
      <c r="F407" s="9" t="inlineStr">
        <is>
          <t>9월 구장</t>
        </is>
      </c>
      <c r="G407" s="9" t="inlineStr">
        <is>
          <t>9월 구장</t>
        </is>
      </c>
      <c r="H407" s="76" t="inlineStr">
        <is>
          <t>9월 전체(영등포)</t>
        </is>
      </c>
    </row>
    <row r="408">
      <c r="A408" s="29" t="n">
        <v>45891</v>
      </c>
      <c r="B408" s="83" t="inlineStr">
        <is>
          <t>입금</t>
        </is>
      </c>
      <c r="C408" s="36" t="n">
        <v>30000</v>
      </c>
      <c r="D408" s="36">
        <f>D407+C408</f>
        <v/>
      </c>
      <c r="E408" s="83" t="inlineStr">
        <is>
          <t>일반입금</t>
        </is>
      </c>
      <c r="F408" s="83" t="inlineStr">
        <is>
          <t>박민규</t>
        </is>
      </c>
      <c r="G408" s="83" t="inlineStr">
        <is>
          <t>9월 회비</t>
        </is>
      </c>
    </row>
    <row r="409">
      <c r="A409" s="29" t="n">
        <v>45891</v>
      </c>
      <c r="B409" s="83" t="inlineStr">
        <is>
          <t>입금</t>
        </is>
      </c>
      <c r="C409" s="36" t="n">
        <v>30000</v>
      </c>
      <c r="D409" s="36">
        <f>D408+C409</f>
        <v/>
      </c>
      <c r="E409" s="83" t="inlineStr">
        <is>
          <t>일반입금</t>
        </is>
      </c>
      <c r="F409" s="83" t="inlineStr">
        <is>
          <t>손다희</t>
        </is>
      </c>
      <c r="G409" s="83" t="inlineStr">
        <is>
          <t>9월 회비</t>
        </is>
      </c>
    </row>
    <row r="410">
      <c r="A410" s="29" t="n">
        <v>45891</v>
      </c>
      <c r="B410" s="83" t="inlineStr">
        <is>
          <t>입금</t>
        </is>
      </c>
      <c r="C410" s="36" t="n">
        <v>30000</v>
      </c>
      <c r="D410" s="36">
        <f>D409+C410</f>
        <v/>
      </c>
      <c r="E410" s="83" t="inlineStr">
        <is>
          <t>일반입금</t>
        </is>
      </c>
      <c r="F410" s="83" t="inlineStr">
        <is>
          <t>DA CONCEIC(브루노)</t>
        </is>
      </c>
      <c r="G410" s="83" t="inlineStr">
        <is>
          <t>9월 회비</t>
        </is>
      </c>
    </row>
    <row r="411">
      <c r="A411" s="29" t="n">
        <v>45891</v>
      </c>
      <c r="B411" s="83" t="inlineStr">
        <is>
          <t>입금</t>
        </is>
      </c>
      <c r="C411" s="36" t="n">
        <v>30000</v>
      </c>
      <c r="D411" s="36">
        <f>D410+C411</f>
        <v/>
      </c>
      <c r="E411" s="83" t="inlineStr">
        <is>
          <t>일반입금</t>
        </is>
      </c>
      <c r="F411" s="83" t="inlineStr">
        <is>
          <t>도민환</t>
        </is>
      </c>
      <c r="G411" s="83" t="inlineStr">
        <is>
          <t>9월 회비</t>
        </is>
      </c>
    </row>
    <row r="412">
      <c r="A412" s="29" t="n">
        <v>45891</v>
      </c>
      <c r="B412" s="83" t="inlineStr">
        <is>
          <t>입금</t>
        </is>
      </c>
      <c r="C412" s="36" t="n">
        <v>30000</v>
      </c>
      <c r="D412" s="36">
        <f>D411+C412</f>
        <v/>
      </c>
      <c r="E412" s="83" t="inlineStr">
        <is>
          <t>일반입금</t>
        </is>
      </c>
      <c r="F412" s="83" t="inlineStr">
        <is>
          <t>조수경</t>
        </is>
      </c>
      <c r="G412" s="83" t="inlineStr">
        <is>
          <t>9월 회비</t>
        </is>
      </c>
    </row>
    <row r="413">
      <c r="A413" s="29" t="n">
        <v>45891</v>
      </c>
      <c r="B413" s="83" t="inlineStr">
        <is>
          <t>입금</t>
        </is>
      </c>
      <c r="C413" s="36" t="n">
        <v>30000</v>
      </c>
      <c r="D413" s="36">
        <f>D412+C413</f>
        <v/>
      </c>
      <c r="E413" s="83" t="inlineStr">
        <is>
          <t>일반입금</t>
        </is>
      </c>
      <c r="F413" s="83" t="inlineStr">
        <is>
          <t>박우성</t>
        </is>
      </c>
      <c r="G413" s="83" t="inlineStr">
        <is>
          <t>9월 회비</t>
        </is>
      </c>
    </row>
    <row r="414">
      <c r="A414" s="29" t="n">
        <v>45891</v>
      </c>
      <c r="B414" s="83" t="inlineStr">
        <is>
          <t>입금</t>
        </is>
      </c>
      <c r="C414" s="36" t="n">
        <v>20000</v>
      </c>
      <c r="D414" s="36">
        <f>D413+C414</f>
        <v/>
      </c>
      <c r="E414" s="83" t="inlineStr">
        <is>
          <t>일반입금</t>
        </is>
      </c>
      <c r="F414" s="83" t="inlineStr">
        <is>
          <t>이연 희범</t>
        </is>
      </c>
      <c r="G414" s="83" t="inlineStr">
        <is>
          <t>9월 회비</t>
        </is>
      </c>
    </row>
    <row r="415">
      <c r="A415" s="16" t="n">
        <v>45891</v>
      </c>
      <c r="B415" s="41" t="inlineStr">
        <is>
          <t>입금</t>
        </is>
      </c>
      <c r="C415" s="40" t="n">
        <v>30000</v>
      </c>
      <c r="D415" s="40">
        <f>D414+C415</f>
        <v/>
      </c>
      <c r="E415" s="41" t="inlineStr">
        <is>
          <t>일반입금</t>
        </is>
      </c>
      <c r="F415" s="41" t="inlineStr">
        <is>
          <t>심지수</t>
        </is>
      </c>
      <c r="G415" s="41" t="inlineStr">
        <is>
          <t>9월 회비</t>
        </is>
      </c>
    </row>
    <row r="416">
      <c r="A416" s="29" t="n">
        <v>45891</v>
      </c>
      <c r="B416" s="83" t="inlineStr">
        <is>
          <t>입금</t>
        </is>
      </c>
      <c r="C416" s="36" t="n">
        <v>30000</v>
      </c>
      <c r="D416" s="36">
        <f>D415+C416</f>
        <v/>
      </c>
      <c r="E416" s="83" t="inlineStr">
        <is>
          <t>일반입금</t>
        </is>
      </c>
      <c r="F416" s="83" t="inlineStr">
        <is>
          <t>임한</t>
        </is>
      </c>
      <c r="G416" s="83" t="inlineStr">
        <is>
          <t>9월 회비</t>
        </is>
      </c>
    </row>
    <row r="417">
      <c r="A417" s="29" t="inlineStr">
        <is>
          <t>2025.08.23 00:00:00</t>
        </is>
      </c>
      <c r="B417" s="83" t="inlineStr">
        <is>
          <t>입금</t>
        </is>
      </c>
      <c r="C417" s="36" t="n">
        <v>89</v>
      </c>
      <c r="D417" s="36">
        <f>D416+C417</f>
        <v/>
      </c>
      <c r="E417" s="83" t="inlineStr">
        <is>
          <t>일반입금</t>
        </is>
      </c>
      <c r="F417" s="83" t="inlineStr">
        <is>
          <t>입출금통장이자</t>
        </is>
      </c>
      <c r="G417" s="83" t="inlineStr">
        <is>
          <t>기타</t>
        </is>
      </c>
    </row>
    <row r="418">
      <c r="A418" s="29" t="n">
        <v>45892</v>
      </c>
      <c r="B418" s="83" t="inlineStr">
        <is>
          <t>입금</t>
        </is>
      </c>
      <c r="C418" s="36" t="n">
        <v>30000</v>
      </c>
      <c r="D418" s="36">
        <f>D417+C418</f>
        <v/>
      </c>
      <c r="E418" s="83" t="inlineStr">
        <is>
          <t>일반입금</t>
        </is>
      </c>
      <c r="F418" s="83" t="inlineStr">
        <is>
          <t>마상현</t>
        </is>
      </c>
      <c r="G418" s="83" t="inlineStr">
        <is>
          <t>9월 회비</t>
        </is>
      </c>
    </row>
    <row r="419">
      <c r="A419" s="29" t="n">
        <v>45892</v>
      </c>
      <c r="B419" s="83" t="inlineStr">
        <is>
          <t>입금</t>
        </is>
      </c>
      <c r="C419" s="36" t="n">
        <v>30000</v>
      </c>
      <c r="D419" s="36">
        <f>D418+C419</f>
        <v/>
      </c>
      <c r="E419" s="83" t="inlineStr">
        <is>
          <t>일반입금</t>
        </is>
      </c>
      <c r="F419" s="83" t="inlineStr">
        <is>
          <t>장세영</t>
        </is>
      </c>
      <c r="G419" s="83" t="inlineStr">
        <is>
          <t>9월 회비</t>
        </is>
      </c>
    </row>
    <row r="420">
      <c r="A420" s="29" t="n">
        <v>45892</v>
      </c>
      <c r="B420" s="83" t="inlineStr">
        <is>
          <t>입금</t>
        </is>
      </c>
      <c r="C420" s="36" t="n">
        <v>30000</v>
      </c>
      <c r="D420" s="36">
        <f>D419+C420</f>
        <v/>
      </c>
      <c r="E420" s="83" t="inlineStr">
        <is>
          <t>일반입금</t>
        </is>
      </c>
      <c r="F420" s="83" t="inlineStr">
        <is>
          <t>표승철</t>
        </is>
      </c>
      <c r="G420" s="83" t="inlineStr">
        <is>
          <t>9월 회비</t>
        </is>
      </c>
    </row>
    <row r="421">
      <c r="A421" s="29" t="n">
        <v>45892</v>
      </c>
      <c r="B421" s="83" t="inlineStr">
        <is>
          <t>입금</t>
        </is>
      </c>
      <c r="C421" s="36" t="n">
        <v>30000</v>
      </c>
      <c r="D421" s="36">
        <f>D420+C421</f>
        <v/>
      </c>
      <c r="E421" s="83" t="inlineStr">
        <is>
          <t>일반입금</t>
        </is>
      </c>
      <c r="F421" s="83" t="inlineStr">
        <is>
          <t>안재영</t>
        </is>
      </c>
      <c r="G421" s="83" t="inlineStr">
        <is>
          <t>9월 회비</t>
        </is>
      </c>
    </row>
    <row r="422">
      <c r="A422" s="29" t="n">
        <v>45894</v>
      </c>
      <c r="B422" s="83" t="inlineStr">
        <is>
          <t>입금</t>
        </is>
      </c>
      <c r="C422" s="36" t="n">
        <v>30000</v>
      </c>
      <c r="D422" s="36">
        <f>D421+C422</f>
        <v/>
      </c>
      <c r="E422" s="83" t="inlineStr">
        <is>
          <t>일반입금</t>
        </is>
      </c>
      <c r="F422" s="83" t="inlineStr">
        <is>
          <t>한승재</t>
        </is>
      </c>
      <c r="G422" s="83" t="inlineStr">
        <is>
          <t>9월 회비</t>
        </is>
      </c>
    </row>
    <row r="423">
      <c r="A423" s="29" t="n">
        <v>45894</v>
      </c>
      <c r="B423" s="83" t="inlineStr">
        <is>
          <t>입금</t>
        </is>
      </c>
      <c r="C423" s="36" t="n">
        <v>30000</v>
      </c>
      <c r="D423" s="36">
        <f>D422+C423</f>
        <v/>
      </c>
      <c r="E423" s="83" t="inlineStr">
        <is>
          <t>일반입금</t>
        </is>
      </c>
      <c r="F423" s="83" t="inlineStr">
        <is>
          <t>배성은</t>
        </is>
      </c>
      <c r="G423" s="83" t="inlineStr">
        <is>
          <t>9월 회비</t>
        </is>
      </c>
    </row>
    <row r="424">
      <c r="A424" s="16" t="n">
        <v>45894</v>
      </c>
      <c r="B424" s="17" t="inlineStr">
        <is>
          <t>출금</t>
        </is>
      </c>
      <c r="C424" s="32" t="n">
        <v>-100000</v>
      </c>
      <c r="D424" s="32">
        <f>D423+C424</f>
        <v/>
      </c>
      <c r="E424" s="17" t="inlineStr">
        <is>
          <t>일반이체</t>
        </is>
      </c>
      <c r="F424" s="17" t="inlineStr">
        <is>
          <t>신한오픈박승한</t>
        </is>
      </c>
      <c r="G424" s="17" t="inlineStr">
        <is>
          <t>상계</t>
        </is>
      </c>
    </row>
    <row r="425">
      <c r="A425" s="29" t="n">
        <v>45894</v>
      </c>
      <c r="B425" s="83" t="inlineStr">
        <is>
          <t>입금</t>
        </is>
      </c>
      <c r="C425" s="36" t="n">
        <v>10000</v>
      </c>
      <c r="D425" s="36">
        <f>D424+C425</f>
        <v/>
      </c>
      <c r="E425" s="83" t="inlineStr">
        <is>
          <t>일반입금</t>
        </is>
      </c>
      <c r="F425" s="83" t="inlineStr">
        <is>
          <t>박승한</t>
        </is>
      </c>
      <c r="G425" s="83" t="inlineStr">
        <is>
          <t>9월 회비</t>
        </is>
      </c>
    </row>
    <row r="426">
      <c r="A426" s="29" t="n">
        <v>45897</v>
      </c>
      <c r="B426" s="83" t="inlineStr">
        <is>
          <t>입금</t>
        </is>
      </c>
      <c r="C426" s="36" t="n">
        <v>45000</v>
      </c>
      <c r="D426" s="36">
        <f>D425+C426</f>
        <v/>
      </c>
      <c r="E426" s="83" t="inlineStr">
        <is>
          <t>일반입금</t>
        </is>
      </c>
      <c r="F426" s="83" t="inlineStr">
        <is>
          <t>게스트(우성광우일웅)</t>
        </is>
      </c>
      <c r="G426" s="83" t="inlineStr">
        <is>
          <t>게스트</t>
        </is>
      </c>
      <c r="H426" s="76" t="inlineStr">
        <is>
          <t>8/27 게스트</t>
        </is>
      </c>
    </row>
    <row r="427">
      <c r="A427" s="16" t="n">
        <v>45897</v>
      </c>
      <c r="B427" s="17" t="inlineStr">
        <is>
          <t>입금</t>
        </is>
      </c>
      <c r="C427" s="32" t="n">
        <v>100000</v>
      </c>
      <c r="D427" s="32">
        <f>D426+C427</f>
        <v/>
      </c>
      <c r="E427" s="17" t="inlineStr">
        <is>
          <t>일반이체</t>
        </is>
      </c>
      <c r="F427" s="17" t="inlineStr">
        <is>
          <t>박승한</t>
        </is>
      </c>
      <c r="G427" s="17" t="inlineStr">
        <is>
          <t>상계</t>
        </is>
      </c>
    </row>
    <row r="428">
      <c r="A428" s="29" t="n">
        <v>45897</v>
      </c>
      <c r="B428" s="83" t="inlineStr">
        <is>
          <t>입금</t>
        </is>
      </c>
      <c r="C428" s="36" t="n">
        <v>15000</v>
      </c>
      <c r="D428" s="36">
        <f>D427+C428</f>
        <v/>
      </c>
      <c r="E428" s="83" t="inlineStr">
        <is>
          <t>일반입금</t>
        </is>
      </c>
      <c r="F428" s="83" t="inlineStr">
        <is>
          <t>승호게스트</t>
        </is>
      </c>
      <c r="G428" s="83" t="inlineStr">
        <is>
          <t>게스트</t>
        </is>
      </c>
      <c r="H428" s="76" t="inlineStr">
        <is>
          <t>8/27 게스트</t>
        </is>
      </c>
    </row>
    <row r="429">
      <c r="A429" s="16" t="n">
        <v>45897</v>
      </c>
      <c r="B429" s="41" t="inlineStr">
        <is>
          <t>출금</t>
        </is>
      </c>
      <c r="C429" s="40" t="n">
        <v>-30000</v>
      </c>
      <c r="D429" s="40">
        <f>D428+C429</f>
        <v/>
      </c>
      <c r="E429" s="41" t="inlineStr">
        <is>
          <t>일반입금</t>
        </is>
      </c>
      <c r="F429" s="41" t="inlineStr">
        <is>
          <t>심지수 환불</t>
        </is>
      </c>
      <c r="G429" s="41" t="inlineStr">
        <is>
          <t>9월 회비 환불</t>
        </is>
      </c>
      <c r="H429" s="76" t="inlineStr">
        <is>
          <t>8월 휴면으로 8월회비 9월로 이월</t>
        </is>
      </c>
    </row>
    <row r="430">
      <c r="A430" s="29" t="n"/>
      <c r="B430" s="14" t="inlineStr">
        <is>
          <t>이월금액</t>
        </is>
      </c>
      <c r="C430" s="27">
        <f>D385</f>
        <v/>
      </c>
    </row>
    <row r="431">
      <c r="A431" s="29" t="n"/>
      <c r="B431" s="14" t="inlineStr">
        <is>
          <t>8월 입금</t>
        </is>
      </c>
      <c r="C431" s="27" t="n">
        <v>1455089</v>
      </c>
    </row>
    <row r="432">
      <c r="A432" s="29" t="n"/>
      <c r="B432" s="14" t="inlineStr">
        <is>
          <t>8월 출금</t>
        </is>
      </c>
      <c r="C432" s="27" t="n">
        <v>-1884400</v>
      </c>
    </row>
    <row r="433">
      <c r="A433" s="29" t="n">
        <v>45901</v>
      </c>
      <c r="B433" s="83" t="inlineStr">
        <is>
          <t>입금</t>
        </is>
      </c>
      <c r="C433" s="36" t="n">
        <v>30000</v>
      </c>
      <c r="D433" s="36">
        <f>D429+C433</f>
        <v/>
      </c>
      <c r="E433" s="83" t="inlineStr">
        <is>
          <t>일반입금</t>
        </is>
      </c>
      <c r="F433" s="83" t="inlineStr">
        <is>
          <t>김우경</t>
        </is>
      </c>
      <c r="G433" s="83" t="inlineStr">
        <is>
          <t>9월 회비</t>
        </is>
      </c>
    </row>
    <row r="434">
      <c r="A434" s="29" t="n">
        <v>45901</v>
      </c>
      <c r="B434" s="83" t="inlineStr">
        <is>
          <t>입금</t>
        </is>
      </c>
      <c r="C434" s="36" t="n">
        <v>30000</v>
      </c>
      <c r="D434" s="36">
        <f>D433+C434</f>
        <v/>
      </c>
      <c r="E434" s="83" t="inlineStr">
        <is>
          <t>일반입금</t>
        </is>
      </c>
      <c r="F434" s="83" t="inlineStr">
        <is>
          <t>이인선</t>
        </is>
      </c>
      <c r="G434" s="83" t="inlineStr">
        <is>
          <t>9월 회비</t>
        </is>
      </c>
    </row>
    <row r="435">
      <c r="A435" s="29" t="n">
        <v>45904</v>
      </c>
      <c r="B435" s="83" t="inlineStr">
        <is>
          <t>입금</t>
        </is>
      </c>
      <c r="C435" s="36" t="n">
        <v>30000</v>
      </c>
      <c r="D435" s="36">
        <f>D434+C435</f>
        <v/>
      </c>
      <c r="E435" s="83" t="inlineStr">
        <is>
          <t>일반입금</t>
        </is>
      </c>
      <c r="F435" s="83" t="inlineStr">
        <is>
          <t>승한게스트 2인</t>
        </is>
      </c>
      <c r="G435" s="83" t="inlineStr">
        <is>
          <t>게스트</t>
        </is>
      </c>
      <c r="H435" s="76" t="inlineStr">
        <is>
          <t>9/3 게스트</t>
        </is>
      </c>
    </row>
    <row r="436">
      <c r="A436" s="29" t="n">
        <v>45904</v>
      </c>
      <c r="B436" s="83" t="inlineStr">
        <is>
          <t>입금</t>
        </is>
      </c>
      <c r="C436" s="36" t="n">
        <v>15000</v>
      </c>
      <c r="D436" s="36">
        <f>D435+C436</f>
        <v/>
      </c>
      <c r="E436" s="83" t="inlineStr">
        <is>
          <t>일반입금</t>
        </is>
      </c>
      <c r="F436" s="83" t="inlineStr">
        <is>
          <t>승철게스트</t>
        </is>
      </c>
      <c r="G436" s="83" t="inlineStr">
        <is>
          <t>게스트</t>
        </is>
      </c>
      <c r="H436" s="76" t="inlineStr">
        <is>
          <t>9/3 게스트</t>
        </is>
      </c>
    </row>
    <row r="437">
      <c r="A437" s="29" t="n">
        <v>45904</v>
      </c>
      <c r="B437" s="83" t="inlineStr">
        <is>
          <t>입금</t>
        </is>
      </c>
      <c r="C437" s="36" t="n">
        <v>10000</v>
      </c>
      <c r="D437" s="36">
        <f>D436+C437</f>
        <v/>
      </c>
      <c r="E437" s="83" t="inlineStr">
        <is>
          <t>일반입금</t>
        </is>
      </c>
      <c r="F437" s="83" t="inlineStr">
        <is>
          <t>조은애</t>
        </is>
      </c>
      <c r="G437" s="83" t="inlineStr">
        <is>
          <t>9월 회비</t>
        </is>
      </c>
    </row>
    <row r="438">
      <c r="A438" s="29" t="n">
        <v>45910</v>
      </c>
      <c r="B438" s="83" t="inlineStr">
        <is>
          <t>입금</t>
        </is>
      </c>
      <c r="C438" s="36" t="n">
        <v>15000</v>
      </c>
      <c r="D438" s="36">
        <f>D437+C438</f>
        <v/>
      </c>
      <c r="E438" s="83" t="inlineStr">
        <is>
          <t>일반입금</t>
        </is>
      </c>
      <c r="F438" s="83" t="inlineStr">
        <is>
          <t>게스트(함지상)</t>
        </is>
      </c>
      <c r="G438" s="83" t="inlineStr">
        <is>
          <t>게스트</t>
        </is>
      </c>
      <c r="H438" s="76" t="inlineStr">
        <is>
          <t>9/10 게스트</t>
        </is>
      </c>
    </row>
    <row r="439">
      <c r="A439" s="29" t="n">
        <v>45910</v>
      </c>
      <c r="B439" s="83" t="inlineStr">
        <is>
          <t>입금</t>
        </is>
      </c>
      <c r="C439" s="36" t="n">
        <v>15000</v>
      </c>
      <c r="D439" s="36">
        <f>D438+C439</f>
        <v/>
      </c>
      <c r="E439" s="83" t="inlineStr">
        <is>
          <t>일반입금</t>
        </is>
      </c>
      <c r="F439" s="83" t="inlineStr">
        <is>
          <t>게스트(한재욱)</t>
        </is>
      </c>
      <c r="G439" s="83" t="inlineStr">
        <is>
          <t>게스트</t>
        </is>
      </c>
      <c r="H439" s="76" t="inlineStr">
        <is>
          <t>9/10 게스트</t>
        </is>
      </c>
    </row>
    <row r="440">
      <c r="A440" s="29" t="n">
        <v>45910</v>
      </c>
      <c r="B440" s="83" t="inlineStr">
        <is>
          <t>입금</t>
        </is>
      </c>
      <c r="C440" s="36" t="n">
        <v>15000</v>
      </c>
      <c r="D440" s="36">
        <f>D439+C440</f>
        <v/>
      </c>
      <c r="E440" s="83" t="inlineStr">
        <is>
          <t>일반입금</t>
        </is>
      </c>
      <c r="F440" s="83" t="inlineStr">
        <is>
          <t>민규게스트</t>
        </is>
      </c>
      <c r="G440" s="83" t="inlineStr">
        <is>
          <t>게스트</t>
        </is>
      </c>
      <c r="H440" s="76" t="inlineStr">
        <is>
          <t>9/10 게스트</t>
        </is>
      </c>
    </row>
    <row r="441">
      <c r="A441" s="29" t="n">
        <v>45911</v>
      </c>
      <c r="B441" s="83" t="inlineStr">
        <is>
          <t>입금</t>
        </is>
      </c>
      <c r="C441" s="36" t="n">
        <v>30000</v>
      </c>
      <c r="D441" s="36">
        <f>D440+C441</f>
        <v/>
      </c>
      <c r="E441" s="83" t="inlineStr">
        <is>
          <t>일반입금</t>
        </is>
      </c>
      <c r="F441" s="83" t="inlineStr">
        <is>
          <t>함지상</t>
        </is>
      </c>
      <c r="G441" s="83" t="inlineStr">
        <is>
          <t>9월 회비</t>
        </is>
      </c>
    </row>
    <row r="442">
      <c r="A442" s="29" t="n">
        <v>45915</v>
      </c>
      <c r="B442" s="83" t="inlineStr">
        <is>
          <t>입금</t>
        </is>
      </c>
      <c r="C442" s="36" t="n">
        <v>10000</v>
      </c>
      <c r="D442" s="36">
        <f>D441+C442</f>
        <v/>
      </c>
      <c r="E442" s="83" t="inlineStr">
        <is>
          <t>일반입금</t>
        </is>
      </c>
      <c r="F442" s="83" t="inlineStr">
        <is>
          <t>최승호</t>
        </is>
      </c>
      <c r="G442" s="83" t="inlineStr">
        <is>
          <t>10월 회비</t>
        </is>
      </c>
    </row>
    <row r="443">
      <c r="A443" s="29" t="n">
        <v>45916</v>
      </c>
      <c r="B443" s="83" t="inlineStr">
        <is>
          <t>입금</t>
        </is>
      </c>
      <c r="C443" s="36" t="n">
        <v>10000</v>
      </c>
      <c r="D443" s="36">
        <f>D442+C443</f>
        <v/>
      </c>
      <c r="E443" s="83" t="inlineStr">
        <is>
          <t>일반입금</t>
        </is>
      </c>
      <c r="F443" s="83" t="inlineStr">
        <is>
          <t>박승한</t>
        </is>
      </c>
      <c r="G443" s="83" t="inlineStr">
        <is>
          <t>10월 회비</t>
        </is>
      </c>
    </row>
    <row r="444">
      <c r="A444" s="8" t="n">
        <v>45917</v>
      </c>
      <c r="B444" s="9" t="inlineStr">
        <is>
          <t>출금</t>
        </is>
      </c>
      <c r="C444" s="28" t="n">
        <v>-128300</v>
      </c>
      <c r="D444" s="28">
        <f>D443+C444</f>
        <v/>
      </c>
      <c r="E444" s="9" t="inlineStr">
        <is>
          <t>일반이체</t>
        </is>
      </c>
      <c r="F444" s="9" t="inlineStr">
        <is>
          <t>10/4 월드컵경기장</t>
        </is>
      </c>
      <c r="G444" s="9" t="inlineStr">
        <is>
          <t>10/4 이벤트구장비</t>
        </is>
      </c>
    </row>
    <row r="445">
      <c r="A445" s="29" t="n">
        <v>45917</v>
      </c>
      <c r="B445" s="83" t="inlineStr">
        <is>
          <t>입금</t>
        </is>
      </c>
      <c r="C445" s="36" t="n">
        <v>30000</v>
      </c>
      <c r="D445" s="36">
        <f>D444+C445</f>
        <v/>
      </c>
      <c r="E445" s="83" t="inlineStr">
        <is>
          <t>일반입금</t>
        </is>
      </c>
      <c r="F445" s="83" t="inlineStr">
        <is>
          <t>김승환(승철게스트2인)</t>
        </is>
      </c>
      <c r="G445" s="83" t="inlineStr">
        <is>
          <t>게스트</t>
        </is>
      </c>
      <c r="H445" s="76" t="inlineStr">
        <is>
          <t>9/17 게스트</t>
        </is>
      </c>
    </row>
    <row r="446">
      <c r="A446" s="29" t="n">
        <v>45917</v>
      </c>
      <c r="B446" s="83" t="inlineStr">
        <is>
          <t>입금</t>
        </is>
      </c>
      <c r="C446" s="36" t="n">
        <v>15000</v>
      </c>
      <c r="D446" s="36">
        <f>D445+C446</f>
        <v/>
      </c>
      <c r="E446" s="83" t="inlineStr">
        <is>
          <t>일반입금</t>
        </is>
      </c>
      <c r="F446" s="83" t="inlineStr">
        <is>
          <t>이경우(민규게스트)</t>
        </is>
      </c>
      <c r="G446" s="83" t="inlineStr">
        <is>
          <t>게스트</t>
        </is>
      </c>
      <c r="H446" s="76" t="inlineStr">
        <is>
          <t>9/17 게스트</t>
        </is>
      </c>
    </row>
    <row r="447">
      <c r="A447" s="29" t="n">
        <v>45917</v>
      </c>
      <c r="B447" s="83" t="inlineStr">
        <is>
          <t>입금</t>
        </is>
      </c>
      <c r="C447" s="36" t="n">
        <v>15000</v>
      </c>
      <c r="D447" s="36">
        <f>D446+C447</f>
        <v/>
      </c>
      <c r="E447" s="83" t="inlineStr">
        <is>
          <t>일반입금</t>
        </is>
      </c>
      <c r="F447" s="83" t="inlineStr">
        <is>
          <t>게스트(일웅)</t>
        </is>
      </c>
      <c r="G447" s="83" t="inlineStr">
        <is>
          <t>게스트</t>
        </is>
      </c>
      <c r="H447" s="76" t="inlineStr">
        <is>
          <t>9/17 게스트</t>
        </is>
      </c>
    </row>
    <row r="448">
      <c r="A448" s="16" t="n">
        <v>45917</v>
      </c>
      <c r="B448" s="41" t="inlineStr">
        <is>
          <t>입금</t>
        </is>
      </c>
      <c r="C448" s="40" t="n">
        <v>15000</v>
      </c>
      <c r="D448" s="40">
        <f>D447+C448</f>
        <v/>
      </c>
      <c r="E448" s="41" t="inlineStr">
        <is>
          <t>일반입금</t>
        </is>
      </c>
      <c r="F448" s="41" t="inlineStr">
        <is>
          <t>이일웅(우성 10월 회비)</t>
        </is>
      </c>
      <c r="G448" s="41" t="inlineStr">
        <is>
          <t>10월 회비</t>
        </is>
      </c>
      <c r="H448" s="76" t="inlineStr">
        <is>
          <t>게스트비 중복입금-&gt;박우성 회비로 처리</t>
        </is>
      </c>
    </row>
    <row r="449">
      <c r="A449" s="16" t="n">
        <v>45917</v>
      </c>
      <c r="B449" s="41" t="inlineStr">
        <is>
          <t>입금</t>
        </is>
      </c>
      <c r="C449" s="40" t="n">
        <v>15000</v>
      </c>
      <c r="D449" s="40">
        <f>D448+C449</f>
        <v/>
      </c>
      <c r="E449" s="41" t="inlineStr">
        <is>
          <t>일반입금</t>
        </is>
      </c>
      <c r="F449" s="41" t="inlineStr">
        <is>
          <t>박우성</t>
        </is>
      </c>
      <c r="G449" s="41" t="inlineStr">
        <is>
          <t>10월 회비</t>
        </is>
      </c>
    </row>
    <row r="450">
      <c r="A450" s="29" t="n">
        <v>45917</v>
      </c>
      <c r="B450" s="83" t="inlineStr">
        <is>
          <t>입금</t>
        </is>
      </c>
      <c r="C450" s="36" t="n">
        <v>30000</v>
      </c>
      <c r="D450" s="36">
        <f>D449+C450</f>
        <v/>
      </c>
      <c r="E450" s="83" t="inlineStr">
        <is>
          <t>일반입금</t>
        </is>
      </c>
      <c r="F450" s="83" t="inlineStr">
        <is>
          <t>승철게스트(2인)</t>
        </is>
      </c>
      <c r="G450" s="83" t="inlineStr">
        <is>
          <t>10월 회비</t>
        </is>
      </c>
      <c r="H450" s="76" t="inlineStr">
        <is>
          <t>게스트비 중복입금-&gt;표승철 회비로 처리</t>
        </is>
      </c>
    </row>
    <row r="451">
      <c r="A451" s="29" t="n">
        <v>45918</v>
      </c>
      <c r="B451" s="83" t="inlineStr">
        <is>
          <t>입금</t>
        </is>
      </c>
      <c r="C451" s="36" t="n">
        <v>45000</v>
      </c>
      <c r="D451" s="36">
        <f>D450+C451</f>
        <v/>
      </c>
      <c r="E451" s="83" t="inlineStr">
        <is>
          <t>일반입금</t>
        </is>
      </c>
      <c r="F451" s="83" t="inlineStr">
        <is>
          <t>조수연</t>
        </is>
      </c>
      <c r="G451" s="83" t="inlineStr">
        <is>
          <t>9월 회비 + 게스트</t>
        </is>
      </c>
      <c r="H451" s="76" t="inlineStr">
        <is>
          <t>9/17 게스트 + 회비</t>
        </is>
      </c>
    </row>
    <row r="452">
      <c r="A452" s="29" t="n">
        <v>45922</v>
      </c>
      <c r="B452" s="83" t="inlineStr">
        <is>
          <t>입금</t>
        </is>
      </c>
      <c r="C452" s="36" t="n">
        <v>30000</v>
      </c>
      <c r="D452" s="36">
        <f>D451+C452</f>
        <v/>
      </c>
      <c r="E452" s="83" t="inlineStr">
        <is>
          <t>일반입금</t>
        </is>
      </c>
      <c r="F452" s="83" t="inlineStr">
        <is>
          <t>조수연</t>
        </is>
      </c>
      <c r="G452" s="83" t="inlineStr">
        <is>
          <t>10월 회비</t>
        </is>
      </c>
    </row>
    <row r="453">
      <c r="A453" s="29" t="n">
        <v>45922</v>
      </c>
      <c r="B453" s="83" t="inlineStr">
        <is>
          <t>입금</t>
        </is>
      </c>
      <c r="C453" s="36" t="n">
        <v>30000</v>
      </c>
      <c r="D453" s="36">
        <f>D452+C453</f>
        <v/>
      </c>
      <c r="E453" s="83" t="inlineStr">
        <is>
          <t>일반입금</t>
        </is>
      </c>
      <c r="F453" s="83" t="inlineStr">
        <is>
          <t>심지수</t>
        </is>
      </c>
      <c r="G453" s="83" t="inlineStr">
        <is>
          <t>10월 회비</t>
        </is>
      </c>
    </row>
    <row r="454">
      <c r="A454" s="29" t="n">
        <v>45922</v>
      </c>
      <c r="B454" s="83" t="inlineStr">
        <is>
          <t>입금</t>
        </is>
      </c>
      <c r="C454" s="36" t="n">
        <v>30000</v>
      </c>
      <c r="D454" s="36">
        <f>D453+C454</f>
        <v/>
      </c>
      <c r="E454" s="83" t="inlineStr">
        <is>
          <t>일반입금</t>
        </is>
      </c>
      <c r="F454" s="83" t="inlineStr">
        <is>
          <t>조수경</t>
        </is>
      </c>
      <c r="G454" s="83" t="inlineStr">
        <is>
          <t>10월 회비</t>
        </is>
      </c>
      <c r="H454" s="76" t="inlineStr">
        <is>
          <t>10월 휴면 -&gt; 11월 회비로 이월</t>
        </is>
      </c>
    </row>
    <row r="455">
      <c r="A455" s="29" t="n">
        <v>45922</v>
      </c>
      <c r="B455" s="83" t="inlineStr">
        <is>
          <t>입금</t>
        </is>
      </c>
      <c r="C455" s="36" t="n">
        <v>20000</v>
      </c>
      <c r="D455" s="36">
        <f>D454+C455</f>
        <v/>
      </c>
      <c r="E455" s="83" t="inlineStr">
        <is>
          <t>일반입금</t>
        </is>
      </c>
      <c r="F455" s="83" t="inlineStr">
        <is>
          <t>이연 희범</t>
        </is>
      </c>
      <c r="G455" s="83" t="inlineStr">
        <is>
          <t>10월 회비</t>
        </is>
      </c>
    </row>
    <row r="456">
      <c r="A456" s="29" t="n">
        <v>45922</v>
      </c>
      <c r="B456" s="83" t="inlineStr">
        <is>
          <t>입금</t>
        </is>
      </c>
      <c r="C456" s="36" t="n">
        <v>30000</v>
      </c>
      <c r="D456" s="36">
        <f>D455+C456</f>
        <v/>
      </c>
      <c r="E456" s="83" t="inlineStr">
        <is>
          <t>일반입금</t>
        </is>
      </c>
      <c r="F456" s="83" t="inlineStr">
        <is>
          <t>이민국</t>
        </is>
      </c>
      <c r="G456" s="83" t="inlineStr">
        <is>
          <t>10월 회비</t>
        </is>
      </c>
    </row>
    <row r="457">
      <c r="A457" s="29" t="n">
        <v>45922</v>
      </c>
      <c r="B457" s="83" t="inlineStr">
        <is>
          <t>입금</t>
        </is>
      </c>
      <c r="C457" s="36" t="n">
        <v>30000</v>
      </c>
      <c r="D457" s="36">
        <f>D456+C457</f>
        <v/>
      </c>
      <c r="E457" s="83" t="inlineStr">
        <is>
          <t>일반입금</t>
        </is>
      </c>
      <c r="F457" s="83" t="inlineStr">
        <is>
          <t>이인선</t>
        </is>
      </c>
      <c r="G457" s="83" t="inlineStr">
        <is>
          <t>10월 회비</t>
        </is>
      </c>
    </row>
    <row r="458">
      <c r="A458" s="29" t="n">
        <v>45922</v>
      </c>
      <c r="B458" s="83" t="inlineStr">
        <is>
          <t>입금</t>
        </is>
      </c>
      <c r="C458" s="36" t="n">
        <v>60000</v>
      </c>
      <c r="D458" s="36">
        <f>D457+C458</f>
        <v/>
      </c>
      <c r="E458" s="83" t="inlineStr">
        <is>
          <t>일반입금</t>
        </is>
      </c>
      <c r="F458" s="83" t="inlineStr">
        <is>
          <t>민주 동헌</t>
        </is>
      </c>
      <c r="G458" s="83" t="inlineStr">
        <is>
          <t>10월 회비</t>
        </is>
      </c>
    </row>
    <row r="459">
      <c r="A459" s="29" t="n">
        <v>45922</v>
      </c>
      <c r="B459" s="83" t="inlineStr">
        <is>
          <t>입금</t>
        </is>
      </c>
      <c r="C459" s="36" t="n">
        <v>30000</v>
      </c>
      <c r="D459" s="36">
        <f>D458+C459</f>
        <v/>
      </c>
      <c r="E459" s="83" t="inlineStr">
        <is>
          <t>일반입금</t>
        </is>
      </c>
      <c r="F459" s="83" t="inlineStr">
        <is>
          <t>박민규</t>
        </is>
      </c>
      <c r="G459" s="83" t="inlineStr">
        <is>
          <t>10월 회비</t>
        </is>
      </c>
    </row>
    <row r="460">
      <c r="A460" s="29" t="n">
        <v>45922</v>
      </c>
      <c r="B460" s="83" t="inlineStr">
        <is>
          <t>입금</t>
        </is>
      </c>
      <c r="C460" s="36" t="n">
        <v>30000</v>
      </c>
      <c r="D460" s="36">
        <f>D459+C460</f>
        <v/>
      </c>
      <c r="E460" s="83" t="inlineStr">
        <is>
          <t>일반입금</t>
        </is>
      </c>
      <c r="F460" s="83" t="inlineStr">
        <is>
          <t>박원주</t>
        </is>
      </c>
      <c r="G460" s="83" t="inlineStr">
        <is>
          <t>10월 회비</t>
        </is>
      </c>
    </row>
    <row r="461">
      <c r="A461" s="29" t="n">
        <v>45922</v>
      </c>
      <c r="B461" s="83" t="inlineStr">
        <is>
          <t>입금</t>
        </is>
      </c>
      <c r="C461" s="36" t="n">
        <v>30000</v>
      </c>
      <c r="D461" s="36">
        <f>D460+C461</f>
        <v/>
      </c>
      <c r="E461" s="83" t="inlineStr">
        <is>
          <t>일반입금</t>
        </is>
      </c>
      <c r="F461" s="83" t="inlineStr">
        <is>
          <t>마상현</t>
        </is>
      </c>
      <c r="G461" s="83" t="inlineStr">
        <is>
          <t>10월 회비</t>
        </is>
      </c>
    </row>
    <row r="462">
      <c r="A462" s="29" t="n">
        <v>45922</v>
      </c>
      <c r="B462" s="83" t="inlineStr">
        <is>
          <t>입금</t>
        </is>
      </c>
      <c r="C462" s="36" t="n">
        <v>10000</v>
      </c>
      <c r="D462" s="36">
        <f>D461+C462</f>
        <v/>
      </c>
      <c r="E462" s="83" t="inlineStr">
        <is>
          <t>일반입금</t>
        </is>
      </c>
      <c r="F462" s="83" t="inlineStr">
        <is>
          <t>원재식</t>
        </is>
      </c>
      <c r="G462" s="83" t="inlineStr">
        <is>
          <t>10월 회비</t>
        </is>
      </c>
    </row>
    <row r="463">
      <c r="A463" s="29" t="n">
        <v>45922</v>
      </c>
      <c r="B463" s="83" t="inlineStr">
        <is>
          <t>입금</t>
        </is>
      </c>
      <c r="C463" s="36" t="n">
        <v>30000</v>
      </c>
      <c r="D463" s="36">
        <f>D462+C463</f>
        <v/>
      </c>
      <c r="E463" s="83" t="inlineStr">
        <is>
          <t>일반입금</t>
        </is>
      </c>
      <c r="F463" s="83" t="inlineStr">
        <is>
          <t>안재영</t>
        </is>
      </c>
      <c r="G463" s="83" t="inlineStr">
        <is>
          <t>10월 회비</t>
        </is>
      </c>
    </row>
    <row r="464">
      <c r="A464" s="29" t="n">
        <v>45922</v>
      </c>
      <c r="B464" s="83" t="inlineStr">
        <is>
          <t>입금</t>
        </is>
      </c>
      <c r="C464" s="36" t="n">
        <v>30000</v>
      </c>
      <c r="D464" s="36">
        <f>D463+C464</f>
        <v/>
      </c>
      <c r="E464" s="83" t="inlineStr">
        <is>
          <t>일반입금</t>
        </is>
      </c>
      <c r="F464" s="83" t="inlineStr">
        <is>
          <t>임한</t>
        </is>
      </c>
      <c r="G464" s="83" t="inlineStr">
        <is>
          <t>10월 회비</t>
        </is>
      </c>
    </row>
    <row r="465">
      <c r="A465" s="29" t="n">
        <v>45922</v>
      </c>
      <c r="B465" s="83" t="inlineStr">
        <is>
          <t>입금</t>
        </is>
      </c>
      <c r="C465" s="36" t="n">
        <v>30000</v>
      </c>
      <c r="D465" s="36">
        <f>D464+C465</f>
        <v/>
      </c>
      <c r="E465" s="83" t="inlineStr">
        <is>
          <t>일반입금</t>
        </is>
      </c>
      <c r="F465" s="83" t="inlineStr">
        <is>
          <t>함지상</t>
        </is>
      </c>
      <c r="G465" s="83" t="inlineStr">
        <is>
          <t>10월 회비</t>
        </is>
      </c>
    </row>
    <row r="466">
      <c r="A466" s="29" t="n">
        <v>45922</v>
      </c>
      <c r="B466" s="83" t="inlineStr">
        <is>
          <t>입금</t>
        </is>
      </c>
      <c r="C466" s="36" t="n">
        <v>30000</v>
      </c>
      <c r="D466" s="36">
        <f>D465+C466</f>
        <v/>
      </c>
      <c r="E466" s="83" t="inlineStr">
        <is>
          <t>일반입금</t>
        </is>
      </c>
      <c r="F466" s="83" t="inlineStr">
        <is>
          <t>DA CONCEIC(브루노)</t>
        </is>
      </c>
      <c r="G466" s="83" t="inlineStr">
        <is>
          <t>10월 회비</t>
        </is>
      </c>
    </row>
    <row r="467">
      <c r="A467" s="29" t="n">
        <v>45922</v>
      </c>
      <c r="B467" s="83" t="inlineStr">
        <is>
          <t>입금</t>
        </is>
      </c>
      <c r="C467" s="36" t="n">
        <v>30000</v>
      </c>
      <c r="D467" s="36">
        <f>D466+C467</f>
        <v/>
      </c>
      <c r="E467" s="83" t="inlineStr">
        <is>
          <t>일반입금</t>
        </is>
      </c>
      <c r="F467" s="83" t="inlineStr">
        <is>
          <t>정하림</t>
        </is>
      </c>
      <c r="G467" s="83" t="inlineStr">
        <is>
          <t>10월 회비</t>
        </is>
      </c>
    </row>
    <row r="468">
      <c r="A468" s="29" t="n">
        <v>45922</v>
      </c>
      <c r="B468" s="83" t="inlineStr">
        <is>
          <t>입금</t>
        </is>
      </c>
      <c r="C468" s="36" t="n">
        <v>30000</v>
      </c>
      <c r="D468" s="36">
        <f>D467+C468</f>
        <v/>
      </c>
      <c r="E468" s="83" t="inlineStr">
        <is>
          <t>일반입금</t>
        </is>
      </c>
      <c r="F468" s="83" t="inlineStr">
        <is>
          <t>박혜란</t>
        </is>
      </c>
      <c r="G468" s="83" t="inlineStr">
        <is>
          <t>10월 회비</t>
        </is>
      </c>
    </row>
    <row r="469">
      <c r="A469" s="29" t="n">
        <v>45923</v>
      </c>
      <c r="B469" s="83" t="inlineStr">
        <is>
          <t>입금</t>
        </is>
      </c>
      <c r="C469" s="36" t="n">
        <v>30000</v>
      </c>
      <c r="D469" s="36">
        <f>D468+C469</f>
        <v/>
      </c>
      <c r="E469" s="83" t="inlineStr">
        <is>
          <t>일반입금</t>
        </is>
      </c>
      <c r="F469" s="83" t="inlineStr">
        <is>
          <t>김두은</t>
        </is>
      </c>
      <c r="G469" s="83" t="inlineStr">
        <is>
          <t>10월 회비</t>
        </is>
      </c>
    </row>
    <row r="470">
      <c r="A470" s="29" t="n">
        <v>45923</v>
      </c>
      <c r="B470" s="83" t="inlineStr">
        <is>
          <t>입금</t>
        </is>
      </c>
      <c r="C470" s="36" t="n">
        <v>30000</v>
      </c>
      <c r="D470" s="36">
        <f>D469+C470</f>
        <v/>
      </c>
      <c r="E470" s="83" t="inlineStr">
        <is>
          <t>일반입금</t>
        </is>
      </c>
      <c r="F470" s="83" t="inlineStr">
        <is>
          <t>김우경</t>
        </is>
      </c>
      <c r="G470" s="83" t="inlineStr">
        <is>
          <t>10월 회비</t>
        </is>
      </c>
    </row>
    <row r="471">
      <c r="A471" s="29" t="n">
        <v>45923</v>
      </c>
      <c r="B471" s="83" t="inlineStr">
        <is>
          <t>입금</t>
        </is>
      </c>
      <c r="C471" s="36" t="n">
        <v>10000</v>
      </c>
      <c r="D471" s="36">
        <f>D470+C471</f>
        <v/>
      </c>
      <c r="E471" s="83" t="inlineStr">
        <is>
          <t>일반입금</t>
        </is>
      </c>
      <c r="F471" s="83" t="inlineStr">
        <is>
          <t>홍순인</t>
        </is>
      </c>
      <c r="G471" s="83" t="inlineStr">
        <is>
          <t>10월 회비</t>
        </is>
      </c>
    </row>
    <row r="472">
      <c r="A472" s="29" t="n">
        <v>45923</v>
      </c>
      <c r="B472" s="83" t="inlineStr">
        <is>
          <t>입금</t>
        </is>
      </c>
      <c r="C472" s="36" t="n">
        <v>30000</v>
      </c>
      <c r="D472" s="36">
        <f>D471+C472</f>
        <v/>
      </c>
      <c r="E472" s="83" t="inlineStr">
        <is>
          <t>일반입금</t>
        </is>
      </c>
      <c r="F472" s="83" t="inlineStr">
        <is>
          <t>배성은</t>
        </is>
      </c>
      <c r="G472" s="83" t="inlineStr">
        <is>
          <t>10월 회비</t>
        </is>
      </c>
    </row>
    <row r="473">
      <c r="A473" s="8" t="n">
        <v>45924</v>
      </c>
      <c r="B473" s="9" t="inlineStr">
        <is>
          <t>출금</t>
        </is>
      </c>
      <c r="C473" s="28" t="n">
        <v>-720000</v>
      </c>
      <c r="D473" s="28">
        <f>D472+C473</f>
        <v/>
      </c>
      <c r="E473" s="9" t="inlineStr">
        <is>
          <t>일반이체</t>
        </is>
      </c>
      <c r="F473" s="9" t="inlineStr">
        <is>
          <t>10월 구장</t>
        </is>
      </c>
      <c r="G473" s="9" t="inlineStr">
        <is>
          <t>10월 구장</t>
        </is>
      </c>
      <c r="H473" s="76" t="inlineStr">
        <is>
          <t>10월 전체(영등포)</t>
        </is>
      </c>
    </row>
    <row r="474">
      <c r="A474" s="29" t="n">
        <v>45925</v>
      </c>
      <c r="B474" s="83" t="inlineStr">
        <is>
          <t>입금</t>
        </is>
      </c>
      <c r="C474" s="36" t="n">
        <v>30000</v>
      </c>
      <c r="D474" s="36">
        <f>D473+C474</f>
        <v/>
      </c>
      <c r="E474" s="83" t="inlineStr">
        <is>
          <t>일반입금</t>
        </is>
      </c>
      <c r="F474" s="83" t="inlineStr">
        <is>
          <t>한재욱</t>
        </is>
      </c>
      <c r="G474" s="83" t="inlineStr">
        <is>
          <t>10월 회비</t>
        </is>
      </c>
    </row>
    <row r="475">
      <c r="A475" s="29" t="n">
        <v>45925</v>
      </c>
      <c r="B475" s="83" t="inlineStr">
        <is>
          <t>입금</t>
        </is>
      </c>
      <c r="C475" s="36" t="n">
        <v>30000</v>
      </c>
      <c r="D475" s="36">
        <f>D474+C475</f>
        <v/>
      </c>
      <c r="E475" s="83" t="inlineStr">
        <is>
          <t>일반입금</t>
        </is>
      </c>
      <c r="F475" s="83" t="inlineStr">
        <is>
          <t>장세영</t>
        </is>
      </c>
      <c r="G475" s="83" t="inlineStr">
        <is>
          <t>10월 회비</t>
        </is>
      </c>
    </row>
    <row r="476">
      <c r="A476" s="29" t="n">
        <v>45925</v>
      </c>
      <c r="B476" s="83" t="inlineStr">
        <is>
          <t>입금</t>
        </is>
      </c>
      <c r="C476" s="36" t="n">
        <v>30000</v>
      </c>
      <c r="D476" s="36">
        <f>D475+C476</f>
        <v/>
      </c>
      <c r="E476" s="83" t="inlineStr">
        <is>
          <t>일반입금</t>
        </is>
      </c>
      <c r="F476" s="83" t="inlineStr">
        <is>
          <t>표승철게스트(2인)</t>
        </is>
      </c>
      <c r="G476" s="83" t="inlineStr">
        <is>
          <t>게스트</t>
        </is>
      </c>
      <c r="H476" s="76" t="inlineStr">
        <is>
          <t>9/10 게스트</t>
        </is>
      </c>
    </row>
    <row r="477">
      <c r="A477" s="29" t="n">
        <v>45925</v>
      </c>
      <c r="B477" s="83" t="inlineStr">
        <is>
          <t>입금</t>
        </is>
      </c>
      <c r="C477" s="36" t="n">
        <v>10000</v>
      </c>
      <c r="D477" s="36">
        <f>D476+C477</f>
        <v/>
      </c>
      <c r="E477" s="83" t="inlineStr">
        <is>
          <t>일반입금</t>
        </is>
      </c>
      <c r="F477" s="83" t="inlineStr">
        <is>
          <t>조은애</t>
        </is>
      </c>
      <c r="G477" s="83" t="inlineStr">
        <is>
          <t>10월 회비</t>
        </is>
      </c>
    </row>
    <row r="478">
      <c r="A478" s="29" t="n">
        <v>45925</v>
      </c>
      <c r="B478" s="83" t="inlineStr">
        <is>
          <t>입금</t>
        </is>
      </c>
      <c r="C478" s="36" t="n">
        <v>30000</v>
      </c>
      <c r="D478" s="36">
        <f>D477+C478</f>
        <v/>
      </c>
      <c r="E478" s="83" t="inlineStr">
        <is>
          <t>일반입금</t>
        </is>
      </c>
      <c r="F478" s="83" t="inlineStr">
        <is>
          <t>한승재</t>
        </is>
      </c>
      <c r="G478" s="83" t="inlineStr">
        <is>
          <t>10월 회비</t>
        </is>
      </c>
      <c r="H478" s="76" t="inlineStr">
        <is>
          <t>10월 부상 -&gt; 11월 회비로 이월 -&gt;12월 회비로 이월</t>
        </is>
      </c>
    </row>
    <row r="479">
      <c r="A479" s="29" t="n">
        <v>45925</v>
      </c>
      <c r="B479" s="83" t="inlineStr">
        <is>
          <t>입금</t>
        </is>
      </c>
      <c r="C479" s="36" t="n">
        <v>30000</v>
      </c>
      <c r="D479" s="36">
        <f>D478+C479</f>
        <v/>
      </c>
      <c r="E479" s="83" t="inlineStr">
        <is>
          <t>일반입금</t>
        </is>
      </c>
      <c r="F479" s="83" t="inlineStr">
        <is>
          <t>손다희</t>
        </is>
      </c>
      <c r="G479" s="83" t="inlineStr">
        <is>
          <t>10월 회비</t>
        </is>
      </c>
    </row>
    <row r="480">
      <c r="A480" s="29" t="n">
        <v>45925</v>
      </c>
      <c r="B480" s="83" t="inlineStr">
        <is>
          <t>입금</t>
        </is>
      </c>
      <c r="C480" s="36" t="n">
        <v>30000</v>
      </c>
      <c r="D480" s="36">
        <f>D479+C480</f>
        <v/>
      </c>
      <c r="E480" s="83" t="inlineStr">
        <is>
          <t>일반입금</t>
        </is>
      </c>
      <c r="F480" s="83" t="inlineStr">
        <is>
          <t>최신비</t>
        </is>
      </c>
      <c r="G480" s="83" t="inlineStr">
        <is>
          <t>10월 회비</t>
        </is>
      </c>
    </row>
    <row r="481">
      <c r="A481" s="29" t="n">
        <v>45927</v>
      </c>
      <c r="B481" s="83" t="inlineStr">
        <is>
          <t>입금</t>
        </is>
      </c>
      <c r="C481" s="36" t="n">
        <v>97</v>
      </c>
      <c r="D481" s="36">
        <f>D480+C481</f>
        <v/>
      </c>
      <c r="E481" s="83" t="inlineStr">
        <is>
          <t>일반입금</t>
        </is>
      </c>
      <c r="F481" s="83" t="inlineStr">
        <is>
          <t>입출금통장이자</t>
        </is>
      </c>
      <c r="G481" s="83" t="inlineStr">
        <is>
          <t>기타</t>
        </is>
      </c>
    </row>
    <row r="482">
      <c r="A482" s="29" t="n"/>
      <c r="B482" s="14" t="inlineStr">
        <is>
          <t>이월금액</t>
        </is>
      </c>
      <c r="C482" s="27">
        <f>D429</f>
        <v/>
      </c>
      <c r="D482" s="36" t="n"/>
      <c r="E482" s="83" t="n"/>
      <c r="F482" s="83" t="n"/>
      <c r="G482" s="83" t="n"/>
    </row>
    <row r="483">
      <c r="A483" s="29" t="n"/>
      <c r="B483" s="14" t="inlineStr">
        <is>
          <t>9월 입금</t>
        </is>
      </c>
      <c r="C483" s="27" t="n">
        <v>1175097</v>
      </c>
    </row>
    <row r="484">
      <c r="A484" s="29" t="n"/>
      <c r="B484" s="14" t="inlineStr">
        <is>
          <t>9월 출금</t>
        </is>
      </c>
      <c r="C484" s="27" t="n">
        <v>-848300</v>
      </c>
    </row>
    <row r="485">
      <c r="A485" s="29" t="n">
        <v>45931</v>
      </c>
      <c r="B485" s="83" t="inlineStr">
        <is>
          <t>입금</t>
        </is>
      </c>
      <c r="C485" s="36" t="n">
        <v>15000</v>
      </c>
      <c r="D485" s="36">
        <f>D481+C485</f>
        <v/>
      </c>
      <c r="E485" s="83" t="inlineStr">
        <is>
          <t>일반입금</t>
        </is>
      </c>
      <c r="F485" s="83" t="inlineStr">
        <is>
          <t>수연게스트</t>
        </is>
      </c>
      <c r="G485" s="83" t="inlineStr">
        <is>
          <t>게스트</t>
        </is>
      </c>
      <c r="H485" s="76" t="inlineStr">
        <is>
          <t>10/1 게스트</t>
        </is>
      </c>
    </row>
    <row r="486">
      <c r="A486" s="29" t="n">
        <v>45932</v>
      </c>
      <c r="B486" s="83" t="inlineStr">
        <is>
          <t>입금</t>
        </is>
      </c>
      <c r="C486" s="36" t="n">
        <v>15000</v>
      </c>
      <c r="D486" s="36">
        <f>D485+C486</f>
        <v/>
      </c>
      <c r="E486" s="83" t="inlineStr">
        <is>
          <t>일반입금</t>
        </is>
      </c>
      <c r="F486" s="83" t="inlineStr">
        <is>
          <t>양주원(민환게스트)</t>
        </is>
      </c>
      <c r="G486" s="83" t="inlineStr">
        <is>
          <t>게스트</t>
        </is>
      </c>
      <c r="H486" s="76" t="inlineStr">
        <is>
          <t>10/1 게스트</t>
        </is>
      </c>
    </row>
    <row r="487">
      <c r="A487" s="29" t="n">
        <v>45932</v>
      </c>
      <c r="B487" s="83" t="inlineStr">
        <is>
          <t>입금</t>
        </is>
      </c>
      <c r="C487" s="36" t="n">
        <v>15000</v>
      </c>
      <c r="D487" s="36">
        <f>D486+C487</f>
        <v/>
      </c>
      <c r="E487" s="83" t="inlineStr">
        <is>
          <t>일반입금</t>
        </is>
      </c>
      <c r="F487" s="83" t="inlineStr">
        <is>
          <t>이일웅</t>
        </is>
      </c>
      <c r="G487" s="83" t="inlineStr">
        <is>
          <t>10/4 축구(게스트)</t>
        </is>
      </c>
    </row>
    <row r="488">
      <c r="A488" s="29" t="n">
        <v>45933</v>
      </c>
      <c r="B488" s="83" t="inlineStr">
        <is>
          <t>입금</t>
        </is>
      </c>
      <c r="C488" s="36" t="n">
        <v>5000</v>
      </c>
      <c r="D488" s="36">
        <f>D487+C488</f>
        <v/>
      </c>
      <c r="E488" s="83" t="inlineStr">
        <is>
          <t>일반입금</t>
        </is>
      </c>
      <c r="F488" s="83" t="inlineStr">
        <is>
          <t>박우성</t>
        </is>
      </c>
      <c r="G488" s="83" t="inlineStr">
        <is>
          <t>10/4 축구(회원)</t>
        </is>
      </c>
    </row>
    <row r="489">
      <c r="A489" s="29" t="n">
        <v>45933</v>
      </c>
      <c r="B489" s="83" t="inlineStr">
        <is>
          <t>입금</t>
        </is>
      </c>
      <c r="C489" s="36" t="n">
        <v>15000</v>
      </c>
      <c r="D489" s="36">
        <f>D488+C489</f>
        <v/>
      </c>
      <c r="E489" s="83" t="inlineStr">
        <is>
          <t>일반입금</t>
        </is>
      </c>
      <c r="F489" s="83" t="inlineStr">
        <is>
          <t>김용희</t>
        </is>
      </c>
      <c r="G489" s="83" t="inlineStr">
        <is>
          <t>10/4 축구(게스트)</t>
        </is>
      </c>
    </row>
    <row r="490">
      <c r="A490" s="29" t="n">
        <v>45933</v>
      </c>
      <c r="B490" s="83" t="inlineStr">
        <is>
          <t>입금</t>
        </is>
      </c>
      <c r="C490" s="36" t="n">
        <v>20000</v>
      </c>
      <c r="D490" s="36">
        <f>D489+C490</f>
        <v/>
      </c>
      <c r="E490" s="83" t="inlineStr">
        <is>
          <t>일반입금</t>
        </is>
      </c>
      <c r="F490" s="83" t="inlineStr">
        <is>
          <t>박승한 정은용</t>
        </is>
      </c>
      <c r="G490" s="83" t="inlineStr">
        <is>
          <t>10/4 축구(회원+게스트)</t>
        </is>
      </c>
    </row>
    <row r="491">
      <c r="A491" s="29" t="n">
        <v>45933</v>
      </c>
      <c r="B491" s="83" t="inlineStr">
        <is>
          <t>입금</t>
        </is>
      </c>
      <c r="C491" s="36" t="n">
        <v>15000</v>
      </c>
      <c r="D491" s="36">
        <f>D490+C491</f>
        <v/>
      </c>
      <c r="E491" s="83" t="inlineStr">
        <is>
          <t>일반입금</t>
        </is>
      </c>
      <c r="F491" s="83" t="inlineStr">
        <is>
          <t>이현곤</t>
        </is>
      </c>
      <c r="G491" s="83" t="inlineStr">
        <is>
          <t>10/4 축구(게스트)</t>
        </is>
      </c>
    </row>
    <row r="492">
      <c r="A492" s="29" t="n">
        <v>45933</v>
      </c>
      <c r="B492" s="83" t="inlineStr">
        <is>
          <t>입금</t>
        </is>
      </c>
      <c r="C492" s="36" t="n">
        <v>30000</v>
      </c>
      <c r="D492" s="36">
        <f>D491+C492</f>
        <v/>
      </c>
      <c r="E492" s="83" t="inlineStr">
        <is>
          <t>일반입금</t>
        </is>
      </c>
      <c r="F492" s="83" t="inlineStr">
        <is>
          <t>주봉환 유보라</t>
        </is>
      </c>
      <c r="G492" s="83" t="inlineStr">
        <is>
          <t>10/4 축구(게스트2인)</t>
        </is>
      </c>
    </row>
    <row r="493">
      <c r="A493" s="29" t="n">
        <v>45933</v>
      </c>
      <c r="B493" s="83" t="inlineStr">
        <is>
          <t>입금</t>
        </is>
      </c>
      <c r="C493" s="36" t="n">
        <v>10000</v>
      </c>
      <c r="D493" s="36">
        <f>D492+C493</f>
        <v/>
      </c>
      <c r="E493" s="83" t="inlineStr">
        <is>
          <t>일반입금</t>
        </is>
      </c>
      <c r="F493" s="83" t="inlineStr">
        <is>
          <t>민주 동헌</t>
        </is>
      </c>
      <c r="G493" s="83" t="inlineStr">
        <is>
          <t>10/4 축구(회원2인)</t>
        </is>
      </c>
    </row>
    <row r="494">
      <c r="A494" s="29" t="n">
        <v>45933</v>
      </c>
      <c r="B494" s="83" t="inlineStr">
        <is>
          <t>입금</t>
        </is>
      </c>
      <c r="C494" s="36" t="n">
        <v>10000</v>
      </c>
      <c r="D494" s="36">
        <f>D493+C494</f>
        <v/>
      </c>
      <c r="E494" s="83" t="inlineStr">
        <is>
          <t>일반입금</t>
        </is>
      </c>
      <c r="F494" s="83" t="inlineStr">
        <is>
          <t>김이연(+희범)</t>
        </is>
      </c>
      <c r="G494" s="83" t="inlineStr">
        <is>
          <t>10/4 축구(회원2인)</t>
        </is>
      </c>
    </row>
    <row r="495">
      <c r="A495" s="29" t="n">
        <v>45933</v>
      </c>
      <c r="B495" s="83" t="inlineStr">
        <is>
          <t>입금</t>
        </is>
      </c>
      <c r="C495" s="36" t="n">
        <v>20000</v>
      </c>
      <c r="D495" s="36">
        <f>D494+C495</f>
        <v/>
      </c>
      <c r="E495" s="83" t="inlineStr">
        <is>
          <t>일반입금</t>
        </is>
      </c>
      <c r="F495" s="83" t="inlineStr">
        <is>
          <t>심지수 심태철</t>
        </is>
      </c>
      <c r="G495" s="83" t="inlineStr">
        <is>
          <t>10/4 축구(회원+게스트)</t>
        </is>
      </c>
    </row>
    <row r="496">
      <c r="A496" s="29" t="n">
        <v>45933</v>
      </c>
      <c r="B496" s="83" t="inlineStr">
        <is>
          <t>입금</t>
        </is>
      </c>
      <c r="C496" s="36" t="n">
        <v>20000</v>
      </c>
      <c r="D496" s="36">
        <f>D495+C496</f>
        <v/>
      </c>
      <c r="E496" s="83" t="inlineStr">
        <is>
          <t>일반입금</t>
        </is>
      </c>
      <c r="F496" s="83" t="inlineStr">
        <is>
          <t>최승호 이루다</t>
        </is>
      </c>
      <c r="G496" s="83" t="inlineStr">
        <is>
          <t>10/4 축구(회원+게스트)</t>
        </is>
      </c>
    </row>
    <row r="497">
      <c r="A497" s="29" t="n">
        <v>45933</v>
      </c>
      <c r="B497" s="83" t="inlineStr">
        <is>
          <t>입금</t>
        </is>
      </c>
      <c r="C497" s="36" t="n">
        <v>5000</v>
      </c>
      <c r="D497" s="36">
        <f>D496+C497</f>
        <v/>
      </c>
      <c r="E497" s="83" t="inlineStr">
        <is>
          <t>일반입금</t>
        </is>
      </c>
      <c r="F497" s="83" t="inlineStr">
        <is>
          <t>박민규</t>
        </is>
      </c>
      <c r="G497" s="83" t="inlineStr">
        <is>
          <t>10/4 축구(회원)</t>
        </is>
      </c>
    </row>
    <row r="498">
      <c r="A498" s="29" t="n">
        <v>45933</v>
      </c>
      <c r="B498" s="83" t="inlineStr">
        <is>
          <t>입금</t>
        </is>
      </c>
      <c r="C498" s="36" t="n">
        <v>15000</v>
      </c>
      <c r="D498" s="36">
        <f>D497+C498</f>
        <v/>
      </c>
      <c r="E498" s="83" t="inlineStr">
        <is>
          <t>일반입금</t>
        </is>
      </c>
      <c r="F498" s="83" t="inlineStr">
        <is>
          <t>김재선</t>
        </is>
      </c>
      <c r="G498" s="83" t="inlineStr">
        <is>
          <t>10/4 축구(게스트)</t>
        </is>
      </c>
    </row>
    <row r="499">
      <c r="A499" s="29" t="n">
        <v>45933</v>
      </c>
      <c r="B499" s="83" t="inlineStr">
        <is>
          <t>입금</t>
        </is>
      </c>
      <c r="C499" s="36" t="n">
        <v>15000</v>
      </c>
      <c r="D499" s="36">
        <f>D498+C499</f>
        <v/>
      </c>
      <c r="E499" s="83" t="inlineStr">
        <is>
          <t>일반입금</t>
        </is>
      </c>
      <c r="F499" s="83" t="inlineStr">
        <is>
          <t>최기호</t>
        </is>
      </c>
      <c r="G499" s="83" t="inlineStr">
        <is>
          <t>10/4 축구(게스트)</t>
        </is>
      </c>
    </row>
    <row r="500">
      <c r="A500" s="29" t="n">
        <v>45933</v>
      </c>
      <c r="B500" s="83" t="inlineStr">
        <is>
          <t>입금</t>
        </is>
      </c>
      <c r="C500" s="36" t="n">
        <v>5000</v>
      </c>
      <c r="D500" s="36">
        <f>D499+C500</f>
        <v/>
      </c>
      <c r="E500" s="83" t="inlineStr">
        <is>
          <t>일반입금</t>
        </is>
      </c>
      <c r="F500" s="83" t="inlineStr">
        <is>
          <t>안재영</t>
        </is>
      </c>
      <c r="G500" s="83" t="inlineStr">
        <is>
          <t>10/4 축구(회원)</t>
        </is>
      </c>
    </row>
    <row r="501">
      <c r="A501" s="29" t="n">
        <v>45933</v>
      </c>
      <c r="B501" s="83" t="inlineStr">
        <is>
          <t>입금</t>
        </is>
      </c>
      <c r="C501" s="36" t="n">
        <v>5000</v>
      </c>
      <c r="D501" s="36">
        <f>D500+C501</f>
        <v/>
      </c>
      <c r="E501" s="83" t="inlineStr">
        <is>
          <t>일반입금</t>
        </is>
      </c>
      <c r="F501" s="83" t="inlineStr">
        <is>
          <t>박혜란</t>
        </is>
      </c>
      <c r="G501" s="83" t="inlineStr">
        <is>
          <t>10/4 축구(회원)</t>
        </is>
      </c>
    </row>
    <row r="502">
      <c r="A502" s="29" t="n">
        <v>45933</v>
      </c>
      <c r="B502" s="83" t="inlineStr">
        <is>
          <t>입금</t>
        </is>
      </c>
      <c r="C502" s="36" t="n">
        <v>5000</v>
      </c>
      <c r="D502" s="36">
        <f>D501+C502</f>
        <v/>
      </c>
      <c r="E502" s="83" t="inlineStr">
        <is>
          <t>일반입금</t>
        </is>
      </c>
      <c r="F502" s="83" t="inlineStr">
        <is>
          <t>조은애</t>
        </is>
      </c>
      <c r="G502" s="83" t="inlineStr">
        <is>
          <t>10/4 축구(회원)</t>
        </is>
      </c>
    </row>
    <row r="503">
      <c r="A503" s="29" t="n">
        <v>45933</v>
      </c>
      <c r="B503" s="83" t="inlineStr">
        <is>
          <t>입금</t>
        </is>
      </c>
      <c r="C503" s="36" t="n">
        <v>15000</v>
      </c>
      <c r="D503" s="36">
        <f>D502+C503</f>
        <v/>
      </c>
      <c r="E503" s="83" t="inlineStr">
        <is>
          <t>일반입금</t>
        </is>
      </c>
      <c r="F503" s="83" t="inlineStr">
        <is>
          <t>한재승</t>
        </is>
      </c>
      <c r="G503" s="83" t="inlineStr">
        <is>
          <t>10/4 축구(게스트)</t>
        </is>
      </c>
    </row>
    <row r="504">
      <c r="A504" s="29" t="n">
        <v>45933</v>
      </c>
      <c r="B504" s="83" t="inlineStr">
        <is>
          <t>입금</t>
        </is>
      </c>
      <c r="C504" s="36" t="n">
        <v>5000</v>
      </c>
      <c r="D504" s="36">
        <f>D503+C504</f>
        <v/>
      </c>
      <c r="E504" s="83" t="inlineStr">
        <is>
          <t>일반입금</t>
        </is>
      </c>
      <c r="F504" s="83" t="inlineStr">
        <is>
          <t>한재욱</t>
        </is>
      </c>
      <c r="G504" s="83" t="inlineStr">
        <is>
          <t>10/4 축구(회원)</t>
        </is>
      </c>
    </row>
    <row r="505">
      <c r="A505" s="29" t="n">
        <v>45934</v>
      </c>
      <c r="B505" s="83" t="inlineStr">
        <is>
          <t>입금</t>
        </is>
      </c>
      <c r="C505" s="36" t="n">
        <v>5000</v>
      </c>
      <c r="D505" s="36">
        <f>D504+C505</f>
        <v/>
      </c>
      <c r="E505" s="83" t="inlineStr">
        <is>
          <t>일반입금</t>
        </is>
      </c>
      <c r="F505" s="83" t="inlineStr">
        <is>
          <t>DA CONCEIC(브루노)</t>
        </is>
      </c>
      <c r="G505" s="83" t="inlineStr">
        <is>
          <t>10/4 축구(회원)</t>
        </is>
      </c>
    </row>
    <row r="506">
      <c r="A506" s="29" t="n">
        <v>45934</v>
      </c>
      <c r="B506" s="83" t="inlineStr">
        <is>
          <t>입금</t>
        </is>
      </c>
      <c r="C506" s="36" t="n">
        <v>15000</v>
      </c>
      <c r="D506" s="36">
        <f>D505+C506</f>
        <v/>
      </c>
      <c r="E506" s="83" t="inlineStr">
        <is>
          <t>일반입금</t>
        </is>
      </c>
      <c r="F506" s="83" t="inlineStr">
        <is>
          <t>안재현</t>
        </is>
      </c>
      <c r="G506" s="83" t="inlineStr">
        <is>
          <t>10/4 축구(게스트)</t>
        </is>
      </c>
    </row>
    <row r="507">
      <c r="A507" s="29" t="n">
        <v>45934</v>
      </c>
      <c r="B507" s="83" t="inlineStr">
        <is>
          <t>입금</t>
        </is>
      </c>
      <c r="C507" s="36" t="n">
        <v>5000</v>
      </c>
      <c r="D507" s="36">
        <f>D506+C507</f>
        <v/>
      </c>
      <c r="E507" s="83" t="inlineStr">
        <is>
          <t>일반입금</t>
        </is>
      </c>
      <c r="F507" s="83" t="inlineStr">
        <is>
          <t>손다희</t>
        </is>
      </c>
      <c r="G507" s="83" t="inlineStr">
        <is>
          <t>10/4 축구(회원)</t>
        </is>
      </c>
    </row>
    <row r="508">
      <c r="A508" s="29" t="n">
        <v>45934</v>
      </c>
      <c r="B508" s="83" t="inlineStr">
        <is>
          <t>입금</t>
        </is>
      </c>
      <c r="C508" s="36" t="n">
        <v>5000</v>
      </c>
      <c r="D508" s="36">
        <f>D507+C508</f>
        <v/>
      </c>
      <c r="E508" s="83" t="inlineStr">
        <is>
          <t>일반입금</t>
        </is>
      </c>
      <c r="F508" s="83" t="inlineStr">
        <is>
          <t>원재식</t>
        </is>
      </c>
      <c r="G508" s="83" t="inlineStr">
        <is>
          <t>10/4 축구(회원)</t>
        </is>
      </c>
    </row>
    <row r="509">
      <c r="A509" s="29" t="n">
        <v>45934</v>
      </c>
      <c r="B509" s="83" t="inlineStr">
        <is>
          <t>입금</t>
        </is>
      </c>
      <c r="C509" s="36" t="n">
        <v>5000</v>
      </c>
      <c r="D509" s="36">
        <f>D508+C509</f>
        <v/>
      </c>
      <c r="E509" s="83" t="inlineStr">
        <is>
          <t>일반입금</t>
        </is>
      </c>
      <c r="F509" s="83" t="inlineStr">
        <is>
          <t>마상현</t>
        </is>
      </c>
      <c r="G509" s="83" t="inlineStr">
        <is>
          <t>10/4 축구(회원)</t>
        </is>
      </c>
    </row>
    <row r="510">
      <c r="A510" s="29" t="n">
        <v>45934</v>
      </c>
      <c r="B510" s="83" t="inlineStr">
        <is>
          <t>입금</t>
        </is>
      </c>
      <c r="C510" s="36" t="n">
        <v>5000</v>
      </c>
      <c r="D510" s="36">
        <f>D509+C510</f>
        <v/>
      </c>
      <c r="E510" s="83" t="inlineStr">
        <is>
          <t>일반입금</t>
        </is>
      </c>
      <c r="F510" s="83" t="inlineStr">
        <is>
          <t>박원주</t>
        </is>
      </c>
      <c r="G510" s="83" t="inlineStr">
        <is>
          <t>10/4 축구(회원)</t>
        </is>
      </c>
    </row>
    <row r="511">
      <c r="A511" s="29" t="n">
        <v>45934</v>
      </c>
      <c r="B511" s="83" t="inlineStr">
        <is>
          <t>입금</t>
        </is>
      </c>
      <c r="C511" s="36" t="n">
        <v>5000</v>
      </c>
      <c r="D511" s="36">
        <f>D510+C511</f>
        <v/>
      </c>
      <c r="E511" s="83" t="inlineStr">
        <is>
          <t>일반입금</t>
        </is>
      </c>
      <c r="F511" s="83" t="inlineStr">
        <is>
          <t>표승철</t>
        </is>
      </c>
      <c r="G511" s="83" t="inlineStr">
        <is>
          <t>10/4 축구(회원)</t>
        </is>
      </c>
    </row>
    <row r="512">
      <c r="A512" s="29" t="n">
        <v>45934</v>
      </c>
      <c r="B512" s="83" t="inlineStr">
        <is>
          <t>입금</t>
        </is>
      </c>
      <c r="C512" s="36" t="n">
        <v>5000</v>
      </c>
      <c r="D512" s="36">
        <f>D511+C512</f>
        <v/>
      </c>
      <c r="E512" s="83" t="inlineStr">
        <is>
          <t>일반입금</t>
        </is>
      </c>
      <c r="F512" s="83" t="inlineStr">
        <is>
          <t>임한</t>
        </is>
      </c>
      <c r="G512" s="83" t="inlineStr">
        <is>
          <t>10/4 축구(회원)</t>
        </is>
      </c>
    </row>
    <row r="513">
      <c r="A513" s="16" t="n">
        <v>45940</v>
      </c>
      <c r="B513" s="17" t="inlineStr">
        <is>
          <t>출금</t>
        </is>
      </c>
      <c r="C513" s="32" t="n">
        <v>-50000</v>
      </c>
      <c r="D513" s="32">
        <f>D512+C513</f>
        <v/>
      </c>
      <c r="E513" s="17" t="inlineStr">
        <is>
          <t>일반이체</t>
        </is>
      </c>
      <c r="F513" s="17" t="inlineStr">
        <is>
          <t>렌즈 대여</t>
        </is>
      </c>
      <c r="G513" s="17" t="inlineStr">
        <is>
          <t>10/4 축구</t>
        </is>
      </c>
    </row>
    <row r="514">
      <c r="A514" s="16" t="n">
        <v>45940</v>
      </c>
      <c r="B514" s="17" t="inlineStr">
        <is>
          <t>입금</t>
        </is>
      </c>
      <c r="C514" s="32" t="n">
        <v>50000</v>
      </c>
      <c r="D514" s="32">
        <f>D513+C514</f>
        <v/>
      </c>
      <c r="E514" s="17" t="inlineStr">
        <is>
          <t>일반이체</t>
        </is>
      </c>
      <c r="F514" s="17" t="inlineStr">
        <is>
          <t>렌즈 대여 취소</t>
        </is>
      </c>
      <c r="G514" s="17" t="inlineStr">
        <is>
          <t>10/4 축구</t>
        </is>
      </c>
    </row>
    <row r="515">
      <c r="A515" s="8" t="n">
        <v>45940</v>
      </c>
      <c r="B515" s="9" t="inlineStr">
        <is>
          <t>출금</t>
        </is>
      </c>
      <c r="C515" s="28" t="n">
        <v>-50000</v>
      </c>
      <c r="D515" s="28">
        <f>D514+C515</f>
        <v/>
      </c>
      <c r="E515" s="9" t="inlineStr">
        <is>
          <t>일반이체</t>
        </is>
      </c>
      <c r="F515" s="9" t="inlineStr">
        <is>
          <t>렌즈 대여</t>
        </is>
      </c>
      <c r="G515" s="9" t="inlineStr">
        <is>
          <t>10/4 축구</t>
        </is>
      </c>
    </row>
    <row r="516">
      <c r="A516" s="8" t="n">
        <v>45943</v>
      </c>
      <c r="B516" s="9" t="inlineStr">
        <is>
          <t>출금</t>
        </is>
      </c>
      <c r="C516" s="28" t="n">
        <v>-57000</v>
      </c>
      <c r="D516" s="28">
        <f>D515+C516</f>
        <v/>
      </c>
      <c r="E516" s="9" t="inlineStr">
        <is>
          <t>일반이체</t>
        </is>
      </c>
      <c r="F516" s="9" t="inlineStr">
        <is>
          <t>싸커피 촬영스탭 식비</t>
        </is>
      </c>
      <c r="G516" s="9" t="inlineStr">
        <is>
          <t>10/12 싸커피 도규 촬영</t>
        </is>
      </c>
    </row>
    <row r="517">
      <c r="A517" s="29" t="n">
        <v>45945</v>
      </c>
      <c r="B517" s="83" t="inlineStr">
        <is>
          <t>입금</t>
        </is>
      </c>
      <c r="C517" s="36" t="n">
        <v>15000</v>
      </c>
      <c r="D517" s="36">
        <f>D516+C517</f>
        <v/>
      </c>
      <c r="E517" s="83" t="inlineStr">
        <is>
          <t>일반입금</t>
        </is>
      </c>
      <c r="F517" s="83" t="inlineStr">
        <is>
          <t>유태경(재영게스트)</t>
        </is>
      </c>
      <c r="G517" s="83" t="inlineStr">
        <is>
          <t>게스트</t>
        </is>
      </c>
      <c r="H517" s="76" t="inlineStr">
        <is>
          <t>10/15 게스트</t>
        </is>
      </c>
    </row>
    <row r="518">
      <c r="A518" s="29" t="n">
        <v>45945</v>
      </c>
      <c r="B518" s="83" t="inlineStr">
        <is>
          <t>입금</t>
        </is>
      </c>
      <c r="C518" s="36" t="n">
        <v>15000</v>
      </c>
      <c r="D518" s="36">
        <f>D517+C518</f>
        <v/>
      </c>
      <c r="E518" s="83" t="inlineStr">
        <is>
          <t>일반입금</t>
        </is>
      </c>
      <c r="F518" s="83" t="inlineStr">
        <is>
          <t>허은혜</t>
        </is>
      </c>
      <c r="G518" s="83" t="inlineStr">
        <is>
          <t>게스트</t>
        </is>
      </c>
      <c r="H518" s="76" t="inlineStr">
        <is>
          <t>10/15 게스트</t>
        </is>
      </c>
    </row>
    <row r="519">
      <c r="A519" s="29" t="n">
        <v>45945</v>
      </c>
      <c r="B519" s="83" t="inlineStr">
        <is>
          <t>입금</t>
        </is>
      </c>
      <c r="C519" s="36" t="n">
        <v>15000</v>
      </c>
      <c r="D519" s="36">
        <f>D518+C519</f>
        <v/>
      </c>
      <c r="E519" s="83" t="inlineStr">
        <is>
          <t>일반입금</t>
        </is>
      </c>
      <c r="F519" s="83" t="inlineStr">
        <is>
          <t>김동규(재영게스트)</t>
        </is>
      </c>
      <c r="G519" s="83" t="inlineStr">
        <is>
          <t>게스트</t>
        </is>
      </c>
      <c r="H519" s="76" t="inlineStr">
        <is>
          <t>10/15 게스트</t>
        </is>
      </c>
    </row>
    <row r="520">
      <c r="A520" s="29" t="n">
        <v>45945</v>
      </c>
      <c r="B520" s="83" t="inlineStr">
        <is>
          <t>입금</t>
        </is>
      </c>
      <c r="C520" s="36" t="n">
        <v>15000</v>
      </c>
      <c r="D520" s="36">
        <f>D519+C520</f>
        <v/>
      </c>
      <c r="E520" s="83" t="inlineStr">
        <is>
          <t>일반입금</t>
        </is>
      </c>
      <c r="F520" s="83" t="inlineStr">
        <is>
          <t>양주원(민환게스트)</t>
        </is>
      </c>
      <c r="G520" s="83" t="inlineStr">
        <is>
          <t>게스트</t>
        </is>
      </c>
      <c r="H520" s="76" t="inlineStr">
        <is>
          <t>10/15 게스트</t>
        </is>
      </c>
    </row>
    <row r="521">
      <c r="A521" s="29" t="n">
        <v>45945</v>
      </c>
      <c r="B521" s="83" t="inlineStr">
        <is>
          <t>입금</t>
        </is>
      </c>
      <c r="C521" s="36" t="n">
        <v>15000</v>
      </c>
      <c r="D521" s="36">
        <f>D520+C521</f>
        <v/>
      </c>
      <c r="E521" s="83" t="inlineStr">
        <is>
          <t>일반입금</t>
        </is>
      </c>
      <c r="F521" s="83" t="inlineStr">
        <is>
          <t>박상민(민환게스트)</t>
        </is>
      </c>
      <c r="G521" s="83" t="inlineStr">
        <is>
          <t>게스트</t>
        </is>
      </c>
      <c r="H521" s="76" t="inlineStr">
        <is>
          <t>10/15 게스트</t>
        </is>
      </c>
    </row>
    <row r="522">
      <c r="A522" s="29" t="n">
        <v>45945</v>
      </c>
      <c r="B522" s="83" t="inlineStr">
        <is>
          <t>입금</t>
        </is>
      </c>
      <c r="C522" s="36" t="n">
        <v>15000</v>
      </c>
      <c r="D522" s="36">
        <f>D521+C522</f>
        <v/>
      </c>
      <c r="E522" s="83" t="inlineStr">
        <is>
          <t>일반입금</t>
        </is>
      </c>
      <c r="F522" s="83" t="inlineStr">
        <is>
          <t>박병선(혜란게스트)</t>
        </is>
      </c>
      <c r="G522" s="83" t="inlineStr">
        <is>
          <t>게스트</t>
        </is>
      </c>
      <c r="H522" s="76" t="inlineStr">
        <is>
          <t>10/15 게스트</t>
        </is>
      </c>
    </row>
    <row r="523">
      <c r="A523" s="29" t="inlineStr">
        <is>
          <t>2025.10.16 00:00:00</t>
        </is>
      </c>
      <c r="B523" s="83" t="inlineStr">
        <is>
          <t>입금</t>
        </is>
      </c>
      <c r="C523" s="36" t="n">
        <v>15000</v>
      </c>
      <c r="D523" s="36">
        <f>D522+C523</f>
        <v/>
      </c>
      <c r="E523" s="83" t="inlineStr">
        <is>
          <t>일반입금</t>
        </is>
      </c>
      <c r="F523" s="83" t="inlineStr">
        <is>
          <t>이경우(민규게스트)</t>
        </is>
      </c>
      <c r="G523" s="83" t="inlineStr">
        <is>
          <t>게스트</t>
        </is>
      </c>
      <c r="H523" s="76" t="inlineStr">
        <is>
          <t>10/15 게스트</t>
        </is>
      </c>
    </row>
    <row r="524">
      <c r="A524" s="29" t="n">
        <v>45947</v>
      </c>
      <c r="B524" s="83" t="inlineStr">
        <is>
          <t>입금</t>
        </is>
      </c>
      <c r="C524" s="36" t="n">
        <v>10000</v>
      </c>
      <c r="D524" s="36">
        <f>D523+C524</f>
        <v/>
      </c>
      <c r="E524" s="83" t="inlineStr">
        <is>
          <t>일반입금</t>
        </is>
      </c>
      <c r="F524" s="83" t="inlineStr">
        <is>
          <t>박승한</t>
        </is>
      </c>
      <c r="G524" s="83" t="inlineStr">
        <is>
          <t>11월 회비</t>
        </is>
      </c>
    </row>
    <row r="525">
      <c r="A525" s="16" t="n">
        <v>45948</v>
      </c>
      <c r="B525" s="41" t="inlineStr">
        <is>
          <t>입금</t>
        </is>
      </c>
      <c r="C525" s="40" t="n">
        <v>135000</v>
      </c>
      <c r="D525" s="40">
        <f>D524+C525</f>
        <v/>
      </c>
      <c r="E525" s="41" t="inlineStr">
        <is>
          <t>일반입금</t>
        </is>
      </c>
      <c r="F525" s="41" t="inlineStr">
        <is>
          <t>박승한</t>
        </is>
      </c>
      <c r="G525" s="41" t="inlineStr">
        <is>
          <t>상계</t>
        </is>
      </c>
    </row>
    <row r="526">
      <c r="A526" s="16" t="n">
        <v>45948</v>
      </c>
      <c r="B526" s="41" t="inlineStr">
        <is>
          <t>출금</t>
        </is>
      </c>
      <c r="C526" s="40" t="n">
        <v>-135000</v>
      </c>
      <c r="D526" s="40">
        <f>D525+C526</f>
        <v/>
      </c>
      <c r="E526" s="41" t="inlineStr">
        <is>
          <t>일반이체</t>
        </is>
      </c>
      <c r="F526" s="41" t="inlineStr">
        <is>
          <t>박승한</t>
        </is>
      </c>
      <c r="G526" s="41" t="inlineStr">
        <is>
          <t>상계</t>
        </is>
      </c>
    </row>
    <row r="527">
      <c r="A527" s="29" t="n">
        <v>45948</v>
      </c>
      <c r="B527" s="83" t="inlineStr">
        <is>
          <t>입금</t>
        </is>
      </c>
      <c r="C527" s="36" t="n">
        <v>10000</v>
      </c>
      <c r="D527" s="36">
        <f>D526+C527</f>
        <v/>
      </c>
      <c r="E527" s="83" t="inlineStr">
        <is>
          <t>일반입금</t>
        </is>
      </c>
      <c r="F527" s="83" t="inlineStr">
        <is>
          <t>최승호</t>
        </is>
      </c>
      <c r="G527" s="83" t="inlineStr">
        <is>
          <t>11월 회비</t>
        </is>
      </c>
    </row>
    <row r="528">
      <c r="A528" s="29" t="n">
        <v>45951</v>
      </c>
      <c r="B528" s="83" t="inlineStr">
        <is>
          <t>입금</t>
        </is>
      </c>
      <c r="C528" s="36" t="n">
        <v>15000</v>
      </c>
      <c r="D528" s="36">
        <f>D527+C528</f>
        <v/>
      </c>
      <c r="E528" s="83" t="inlineStr">
        <is>
          <t>일반입금</t>
        </is>
      </c>
      <c r="F528" s="83" t="inlineStr">
        <is>
          <t>정규원(희범게스트)</t>
        </is>
      </c>
      <c r="G528" s="83" t="inlineStr">
        <is>
          <t>게스트</t>
        </is>
      </c>
      <c r="H528" s="76" t="inlineStr">
        <is>
          <t>10/22 게스트</t>
        </is>
      </c>
    </row>
    <row r="529">
      <c r="A529" s="29" t="n">
        <v>45951</v>
      </c>
      <c r="B529" s="83" t="inlineStr">
        <is>
          <t>입금</t>
        </is>
      </c>
      <c r="C529" s="36" t="n">
        <v>15000</v>
      </c>
      <c r="D529" s="36">
        <f>D528+C529</f>
        <v/>
      </c>
      <c r="E529" s="83" t="inlineStr">
        <is>
          <t>일반입금</t>
        </is>
      </c>
      <c r="F529" s="83" t="inlineStr">
        <is>
          <t>전범수(희범게스트)</t>
        </is>
      </c>
      <c r="G529" s="83" t="inlineStr">
        <is>
          <t>게스트</t>
        </is>
      </c>
      <c r="H529" s="76" t="inlineStr">
        <is>
          <t>10/22 게스트</t>
        </is>
      </c>
    </row>
    <row r="530">
      <c r="A530" s="29" t="n">
        <v>45951</v>
      </c>
      <c r="B530" s="83" t="inlineStr">
        <is>
          <t>입금</t>
        </is>
      </c>
      <c r="C530" s="36" t="n">
        <v>30000</v>
      </c>
      <c r="D530" s="36">
        <f>D529+C530</f>
        <v/>
      </c>
      <c r="E530" s="83" t="inlineStr">
        <is>
          <t>일반입금</t>
        </is>
      </c>
      <c r="F530" s="83" t="inlineStr">
        <is>
          <t>심지수</t>
        </is>
      </c>
      <c r="G530" s="83" t="inlineStr">
        <is>
          <t>11월 회비</t>
        </is>
      </c>
    </row>
    <row r="531">
      <c r="A531" s="29" t="n">
        <v>45951</v>
      </c>
      <c r="B531" s="83" t="inlineStr">
        <is>
          <t>입금</t>
        </is>
      </c>
      <c r="C531" s="36" t="n">
        <v>60000</v>
      </c>
      <c r="D531" s="36">
        <f>D530+C531</f>
        <v/>
      </c>
      <c r="E531" s="83" t="inlineStr">
        <is>
          <t>일반입금</t>
        </is>
      </c>
      <c r="F531" s="83" t="inlineStr">
        <is>
          <t>민주 동헌</t>
        </is>
      </c>
      <c r="G531" s="83" t="inlineStr">
        <is>
          <t>11월 회비</t>
        </is>
      </c>
      <c r="H531" s="76" t="inlineStr">
        <is>
          <t xml:space="preserve">민주 11월 부상, 동헌 11월 휴면 -&gt; 12월 회비로 이월 </t>
        </is>
      </c>
    </row>
    <row r="532">
      <c r="A532" s="29" t="n">
        <v>45951</v>
      </c>
      <c r="B532" s="83" t="inlineStr">
        <is>
          <t>입금</t>
        </is>
      </c>
      <c r="C532" s="36" t="n">
        <v>20000</v>
      </c>
      <c r="D532" s="36">
        <f>D531+C532</f>
        <v/>
      </c>
      <c r="E532" s="83" t="inlineStr">
        <is>
          <t>일반입금</t>
        </is>
      </c>
      <c r="F532" s="83" t="inlineStr">
        <is>
          <t>희범 이연</t>
        </is>
      </c>
      <c r="G532" s="83" t="inlineStr">
        <is>
          <t>11월 회비</t>
        </is>
      </c>
    </row>
    <row r="533">
      <c r="A533" s="29" t="n">
        <v>45951</v>
      </c>
      <c r="B533" s="83" t="inlineStr">
        <is>
          <t>입금</t>
        </is>
      </c>
      <c r="C533" s="36" t="n">
        <v>30000</v>
      </c>
      <c r="D533" s="36">
        <f>D532+C533</f>
        <v/>
      </c>
      <c r="E533" s="83" t="inlineStr">
        <is>
          <t>일반입금</t>
        </is>
      </c>
      <c r="F533" s="83" t="inlineStr">
        <is>
          <t>박원주</t>
        </is>
      </c>
      <c r="G533" s="83" t="inlineStr">
        <is>
          <t>11월 회비</t>
        </is>
      </c>
    </row>
    <row r="534">
      <c r="A534" s="29" t="n">
        <v>45951</v>
      </c>
      <c r="B534" s="83" t="inlineStr">
        <is>
          <t>입금</t>
        </is>
      </c>
      <c r="C534" s="36" t="n">
        <v>30000</v>
      </c>
      <c r="D534" s="36">
        <f>D533+C534</f>
        <v/>
      </c>
      <c r="E534" s="83" t="inlineStr">
        <is>
          <t>일반입금</t>
        </is>
      </c>
      <c r="F534" s="83" t="inlineStr">
        <is>
          <t>함지상</t>
        </is>
      </c>
      <c r="G534" s="83" t="inlineStr">
        <is>
          <t>11월 회비</t>
        </is>
      </c>
    </row>
    <row r="535">
      <c r="A535" s="29" t="n">
        <v>45951</v>
      </c>
      <c r="B535" s="83" t="inlineStr">
        <is>
          <t>입금</t>
        </is>
      </c>
      <c r="C535" s="36" t="n">
        <v>30000</v>
      </c>
      <c r="D535" s="36">
        <f>D534+C535</f>
        <v/>
      </c>
      <c r="E535" s="83" t="inlineStr">
        <is>
          <t>일반입금</t>
        </is>
      </c>
      <c r="F535" s="83" t="inlineStr">
        <is>
          <t>김우경</t>
        </is>
      </c>
      <c r="G535" s="83" t="inlineStr">
        <is>
          <t>11월 회비</t>
        </is>
      </c>
    </row>
    <row r="536">
      <c r="A536" s="29" t="n">
        <v>45951</v>
      </c>
      <c r="B536" s="83" t="inlineStr">
        <is>
          <t>입금</t>
        </is>
      </c>
      <c r="C536" s="36" t="n">
        <v>30000</v>
      </c>
      <c r="D536" s="36">
        <f>D535+C536</f>
        <v/>
      </c>
      <c r="E536" s="83" t="inlineStr">
        <is>
          <t>일반입금</t>
        </is>
      </c>
      <c r="F536" s="83" t="inlineStr">
        <is>
          <t>DA CONCEIC(브루노)</t>
        </is>
      </c>
      <c r="G536" s="83" t="inlineStr">
        <is>
          <t>11월 회비</t>
        </is>
      </c>
    </row>
    <row r="537">
      <c r="A537" s="29" t="n">
        <v>45951</v>
      </c>
      <c r="B537" s="83" t="inlineStr">
        <is>
          <t>입금</t>
        </is>
      </c>
      <c r="C537" s="36" t="n">
        <v>10000</v>
      </c>
      <c r="D537" s="36">
        <f>D536+C537</f>
        <v/>
      </c>
      <c r="E537" s="83" t="inlineStr">
        <is>
          <t>일반입금</t>
        </is>
      </c>
      <c r="F537" s="83" t="inlineStr">
        <is>
          <t>홍순인</t>
        </is>
      </c>
      <c r="G537" s="83" t="inlineStr">
        <is>
          <t>11월 회비</t>
        </is>
      </c>
    </row>
    <row r="538">
      <c r="A538" s="29" t="n">
        <v>45951</v>
      </c>
      <c r="B538" s="83" t="inlineStr">
        <is>
          <t>입금</t>
        </is>
      </c>
      <c r="C538" s="36" t="n">
        <v>30000</v>
      </c>
      <c r="D538" s="36">
        <f>D537+C538</f>
        <v/>
      </c>
      <c r="E538" s="83" t="inlineStr">
        <is>
          <t>일반입금</t>
        </is>
      </c>
      <c r="F538" s="83" t="inlineStr">
        <is>
          <t>박우성</t>
        </is>
      </c>
      <c r="G538" s="83" t="inlineStr">
        <is>
          <t>11월 회비</t>
        </is>
      </c>
    </row>
    <row r="539">
      <c r="A539" s="29" t="n">
        <v>45951</v>
      </c>
      <c r="B539" s="83" t="inlineStr">
        <is>
          <t>입금</t>
        </is>
      </c>
      <c r="C539" s="36" t="n">
        <v>30000</v>
      </c>
      <c r="D539" s="36">
        <f>D538+C539</f>
        <v/>
      </c>
      <c r="E539" s="83" t="inlineStr">
        <is>
          <t>일반입금</t>
        </is>
      </c>
      <c r="F539" s="83" t="inlineStr">
        <is>
          <t>이민국</t>
        </is>
      </c>
      <c r="G539" s="83" t="inlineStr">
        <is>
          <t>11월 회비</t>
        </is>
      </c>
    </row>
    <row r="540">
      <c r="A540" s="29" t="n">
        <v>45951</v>
      </c>
      <c r="B540" s="83" t="inlineStr">
        <is>
          <t>입금</t>
        </is>
      </c>
      <c r="C540" s="36" t="n">
        <v>30000</v>
      </c>
      <c r="D540" s="36">
        <f>D539+C540</f>
        <v/>
      </c>
      <c r="E540" s="83" t="inlineStr">
        <is>
          <t>일반입금</t>
        </is>
      </c>
      <c r="F540" s="83" t="inlineStr">
        <is>
          <t>조수연</t>
        </is>
      </c>
      <c r="G540" s="83" t="inlineStr">
        <is>
          <t>11월 회비</t>
        </is>
      </c>
    </row>
    <row r="541">
      <c r="A541" s="29" t="n">
        <v>45951</v>
      </c>
      <c r="B541" s="83" t="inlineStr">
        <is>
          <t>입금</t>
        </is>
      </c>
      <c r="C541" s="36" t="n">
        <v>30000</v>
      </c>
      <c r="D541" s="36">
        <f>D540+C541</f>
        <v/>
      </c>
      <c r="E541" s="83" t="inlineStr">
        <is>
          <t>일반입금</t>
        </is>
      </c>
      <c r="F541" s="83" t="inlineStr">
        <is>
          <t>최신비</t>
        </is>
      </c>
      <c r="G541" s="83" t="inlineStr">
        <is>
          <t>11월 회비</t>
        </is>
      </c>
    </row>
    <row r="542">
      <c r="A542" s="29" t="n">
        <v>45951</v>
      </c>
      <c r="B542" s="83" t="inlineStr">
        <is>
          <t>입금</t>
        </is>
      </c>
      <c r="C542" s="36" t="n">
        <v>30000</v>
      </c>
      <c r="D542" s="36">
        <f>D541+C542</f>
        <v/>
      </c>
      <c r="E542" s="83" t="inlineStr">
        <is>
          <t>일반입금</t>
        </is>
      </c>
      <c r="F542" s="83" t="inlineStr">
        <is>
          <t>표승철</t>
        </is>
      </c>
      <c r="G542" s="83" t="inlineStr">
        <is>
          <t>11월 회비</t>
        </is>
      </c>
    </row>
    <row r="543">
      <c r="A543" s="29" t="n">
        <v>45951</v>
      </c>
      <c r="B543" s="83" t="inlineStr">
        <is>
          <t>입금</t>
        </is>
      </c>
      <c r="C543" s="36" t="n">
        <v>30000</v>
      </c>
      <c r="D543" s="36">
        <f>D542+C543</f>
        <v/>
      </c>
      <c r="E543" s="83" t="inlineStr">
        <is>
          <t>일반입금</t>
        </is>
      </c>
      <c r="F543" s="83" t="inlineStr">
        <is>
          <t>김두은</t>
        </is>
      </c>
      <c r="G543" s="83" t="inlineStr">
        <is>
          <t>11월 회비</t>
        </is>
      </c>
    </row>
    <row r="544">
      <c r="A544" s="29" t="n">
        <v>45951</v>
      </c>
      <c r="B544" s="83" t="inlineStr">
        <is>
          <t>입금</t>
        </is>
      </c>
      <c r="C544" s="36" t="n">
        <v>30000</v>
      </c>
      <c r="D544" s="36">
        <f>D543+C544</f>
        <v/>
      </c>
      <c r="E544" s="83" t="inlineStr">
        <is>
          <t>일반입금</t>
        </is>
      </c>
      <c r="F544" s="83" t="inlineStr">
        <is>
          <t>임한</t>
        </is>
      </c>
      <c r="G544" s="83" t="inlineStr">
        <is>
          <t>11월 회비</t>
        </is>
      </c>
    </row>
    <row r="545">
      <c r="A545" s="29" t="n">
        <v>45951</v>
      </c>
      <c r="B545" s="83" t="inlineStr">
        <is>
          <t>입금</t>
        </is>
      </c>
      <c r="C545" s="36" t="n">
        <v>15000</v>
      </c>
      <c r="D545" s="36">
        <f>D544+C545</f>
        <v/>
      </c>
      <c r="E545" s="83" t="inlineStr">
        <is>
          <t>일반입금</t>
        </is>
      </c>
      <c r="F545" s="83" t="inlineStr">
        <is>
          <t>장세형</t>
        </is>
      </c>
      <c r="G545" s="83" t="inlineStr">
        <is>
          <t>게스트</t>
        </is>
      </c>
      <c r="H545" s="76" t="inlineStr">
        <is>
          <t>10/22 게스트-&gt;불참</t>
        </is>
      </c>
    </row>
    <row r="546">
      <c r="A546" s="29" t="n">
        <v>45951</v>
      </c>
      <c r="B546" s="83" t="inlineStr">
        <is>
          <t>입금</t>
        </is>
      </c>
      <c r="C546" s="36" t="n">
        <v>30000</v>
      </c>
      <c r="D546" s="36">
        <f>D545+C546</f>
        <v/>
      </c>
      <c r="E546" s="83" t="inlineStr">
        <is>
          <t>일반입금</t>
        </is>
      </c>
      <c r="F546" s="83" t="inlineStr">
        <is>
          <t>손다희</t>
        </is>
      </c>
      <c r="G546" s="83" t="inlineStr">
        <is>
          <t>11월 회비</t>
        </is>
      </c>
    </row>
    <row r="547">
      <c r="A547" s="29" t="n">
        <v>45951</v>
      </c>
      <c r="B547" s="83" t="inlineStr">
        <is>
          <t>입금</t>
        </is>
      </c>
      <c r="C547" s="36" t="n">
        <v>30000</v>
      </c>
      <c r="D547" s="36">
        <f>D546+C547</f>
        <v/>
      </c>
      <c r="E547" s="83" t="inlineStr">
        <is>
          <t>일반입금</t>
        </is>
      </c>
      <c r="F547" s="83" t="inlineStr">
        <is>
          <t>마상현</t>
        </is>
      </c>
      <c r="G547" s="83" t="inlineStr">
        <is>
          <t>11월 회비</t>
        </is>
      </c>
    </row>
    <row r="548">
      <c r="A548" s="29" t="n">
        <v>45952</v>
      </c>
      <c r="B548" s="83" t="inlineStr">
        <is>
          <t>입금</t>
        </is>
      </c>
      <c r="C548" s="36" t="n">
        <v>15000</v>
      </c>
      <c r="D548" s="36">
        <f>D547+C548</f>
        <v/>
      </c>
      <c r="E548" s="83" t="inlineStr">
        <is>
          <t>일반입금</t>
        </is>
      </c>
      <c r="F548" s="83" t="inlineStr">
        <is>
          <t>김동규(재영게스트)</t>
        </is>
      </c>
      <c r="G548" s="83" t="inlineStr">
        <is>
          <t>게스트</t>
        </is>
      </c>
      <c r="H548" s="76" t="inlineStr">
        <is>
          <t>10/22 게스트</t>
        </is>
      </c>
    </row>
    <row r="549">
      <c r="A549" s="8" t="n">
        <v>45952</v>
      </c>
      <c r="B549" s="9" t="inlineStr">
        <is>
          <t>출금</t>
        </is>
      </c>
      <c r="C549" s="28" t="n">
        <v>-960000</v>
      </c>
      <c r="D549" s="28">
        <f>D548+C549</f>
        <v/>
      </c>
      <c r="E549" s="9" t="inlineStr">
        <is>
          <t>일반이체</t>
        </is>
      </c>
      <c r="F549" s="9" t="inlineStr">
        <is>
          <t>11월 구장</t>
        </is>
      </c>
      <c r="G549" s="9" t="inlineStr">
        <is>
          <t>11월 구장</t>
        </is>
      </c>
      <c r="H549" s="76" t="inlineStr">
        <is>
          <t>11월 전체(영등포)</t>
        </is>
      </c>
    </row>
    <row r="550">
      <c r="A550" s="29" t="n">
        <v>45952</v>
      </c>
      <c r="B550" s="83" t="inlineStr">
        <is>
          <t>입금</t>
        </is>
      </c>
      <c r="C550" s="36" t="n">
        <v>30000</v>
      </c>
      <c r="D550" s="36">
        <f>D549+C550</f>
        <v/>
      </c>
      <c r="E550" s="83" t="inlineStr">
        <is>
          <t>일반입금</t>
        </is>
      </c>
      <c r="F550" s="83" t="inlineStr">
        <is>
          <t>장세영</t>
        </is>
      </c>
      <c r="G550" s="83" t="inlineStr">
        <is>
          <t>11월 회비</t>
        </is>
      </c>
    </row>
    <row r="551">
      <c r="A551" s="29" t="n">
        <v>45952</v>
      </c>
      <c r="B551" s="83" t="inlineStr">
        <is>
          <t>입금</t>
        </is>
      </c>
      <c r="C551" s="36" t="n">
        <v>15000</v>
      </c>
      <c r="D551" s="36">
        <f>D550+C551</f>
        <v/>
      </c>
      <c r="E551" s="83" t="inlineStr">
        <is>
          <t>일반입금</t>
        </is>
      </c>
      <c r="F551" s="83" t="inlineStr">
        <is>
          <t>정은용(승한게스트)</t>
        </is>
      </c>
      <c r="G551" s="83" t="inlineStr">
        <is>
          <t>게스트</t>
        </is>
      </c>
      <c r="H551" s="76" t="inlineStr">
        <is>
          <t>10/22 게스트</t>
        </is>
      </c>
    </row>
    <row r="552">
      <c r="A552" s="29" t="n">
        <v>45952</v>
      </c>
      <c r="B552" s="83" t="inlineStr">
        <is>
          <t>입금</t>
        </is>
      </c>
      <c r="C552" s="36" t="n">
        <v>15000</v>
      </c>
      <c r="D552" s="36">
        <f>D551+C552</f>
        <v/>
      </c>
      <c r="E552" s="83" t="inlineStr">
        <is>
          <t>일반입금</t>
        </is>
      </c>
      <c r="F552" s="83" t="inlineStr">
        <is>
          <t>한진영(승한게스트)</t>
        </is>
      </c>
      <c r="G552" s="83" t="inlineStr">
        <is>
          <t>게스트</t>
        </is>
      </c>
      <c r="H552" s="76" t="inlineStr">
        <is>
          <t>10/22 게스트</t>
        </is>
      </c>
    </row>
    <row r="553">
      <c r="A553" s="29" t="n">
        <v>45952</v>
      </c>
      <c r="B553" s="83" t="inlineStr">
        <is>
          <t>입금</t>
        </is>
      </c>
      <c r="C553" s="36" t="n">
        <v>15000</v>
      </c>
      <c r="D553" s="36">
        <f>D552+C553</f>
        <v/>
      </c>
      <c r="E553" s="83" t="inlineStr">
        <is>
          <t>일반입금</t>
        </is>
      </c>
      <c r="F553" s="83" t="inlineStr">
        <is>
          <t>신현오(승한게스트)</t>
        </is>
      </c>
      <c r="G553" s="83" t="inlineStr">
        <is>
          <t>게스트</t>
        </is>
      </c>
      <c r="H553" s="76" t="inlineStr">
        <is>
          <t>10/22 게스트</t>
        </is>
      </c>
    </row>
    <row r="554">
      <c r="A554" s="29" t="n">
        <v>45952</v>
      </c>
      <c r="B554" s="83" t="inlineStr">
        <is>
          <t>입금</t>
        </is>
      </c>
      <c r="C554" s="36" t="n">
        <v>30000</v>
      </c>
      <c r="D554" s="36">
        <f>D553+C554</f>
        <v/>
      </c>
      <c r="E554" s="83" t="inlineStr">
        <is>
          <t>일반입금</t>
        </is>
      </c>
      <c r="F554" s="83" t="inlineStr">
        <is>
          <t>박민규</t>
        </is>
      </c>
      <c r="G554" s="83" t="inlineStr">
        <is>
          <t>11월 회비</t>
        </is>
      </c>
    </row>
    <row r="555">
      <c r="A555" s="29" t="n">
        <v>45952</v>
      </c>
      <c r="B555" s="83" t="inlineStr">
        <is>
          <t>입금</t>
        </is>
      </c>
      <c r="C555" s="36" t="n">
        <v>10000</v>
      </c>
      <c r="D555" s="36">
        <f>D554+C555</f>
        <v/>
      </c>
      <c r="E555" s="83" t="inlineStr">
        <is>
          <t>일반입금</t>
        </is>
      </c>
      <c r="F555" s="83" t="inlineStr">
        <is>
          <t>조은애</t>
        </is>
      </c>
      <c r="G555" s="83" t="inlineStr">
        <is>
          <t>11월 회비</t>
        </is>
      </c>
    </row>
    <row r="556">
      <c r="A556" s="29" t="n">
        <v>45952</v>
      </c>
      <c r="B556" s="83" t="inlineStr">
        <is>
          <t>입금</t>
        </is>
      </c>
      <c r="C556" s="36" t="n">
        <v>30000</v>
      </c>
      <c r="D556" s="36">
        <f>D555+C556</f>
        <v/>
      </c>
      <c r="E556" s="83" t="inlineStr">
        <is>
          <t>일반입금</t>
        </is>
      </c>
      <c r="F556" s="83" t="inlineStr">
        <is>
          <t>한재욱</t>
        </is>
      </c>
      <c r="G556" s="83" t="inlineStr">
        <is>
          <t>11월 회비</t>
        </is>
      </c>
    </row>
    <row r="557">
      <c r="A557" s="29" t="n">
        <v>45952</v>
      </c>
      <c r="B557" s="83" t="inlineStr">
        <is>
          <t>입금</t>
        </is>
      </c>
      <c r="C557" s="36" t="n">
        <v>30000</v>
      </c>
      <c r="D557" s="36">
        <f>D556+C557</f>
        <v/>
      </c>
      <c r="E557" s="83" t="inlineStr">
        <is>
          <t>일반입금</t>
        </is>
      </c>
      <c r="F557" s="83" t="inlineStr">
        <is>
          <t>이인선</t>
        </is>
      </c>
      <c r="G557" s="83" t="inlineStr">
        <is>
          <t>11월 회비</t>
        </is>
      </c>
    </row>
    <row r="558">
      <c r="A558" s="29" t="n">
        <v>45953</v>
      </c>
      <c r="B558" s="83" t="inlineStr">
        <is>
          <t>입금</t>
        </is>
      </c>
      <c r="C558" s="36" t="n">
        <v>30000</v>
      </c>
      <c r="D558" s="36">
        <f>D557+C558</f>
        <v/>
      </c>
      <c r="E558" s="83" t="inlineStr">
        <is>
          <t>일반입금</t>
        </is>
      </c>
      <c r="F558" s="83" t="inlineStr">
        <is>
          <t>안재영</t>
        </is>
      </c>
      <c r="G558" s="83" t="inlineStr">
        <is>
          <t>11월 회비</t>
        </is>
      </c>
    </row>
    <row r="559">
      <c r="A559" s="29" t="n">
        <v>45955</v>
      </c>
      <c r="B559" s="83" t="inlineStr">
        <is>
          <t>입금</t>
        </is>
      </c>
      <c r="C559" s="36" t="n">
        <v>107</v>
      </c>
      <c r="D559" s="36">
        <f>D558+C559</f>
        <v/>
      </c>
      <c r="E559" s="83" t="inlineStr">
        <is>
          <t>일반입금</t>
        </is>
      </c>
      <c r="F559" s="83" t="inlineStr">
        <is>
          <t>안재영</t>
        </is>
      </c>
      <c r="G559" s="83" t="inlineStr">
        <is>
          <t>입출금통장이자</t>
        </is>
      </c>
    </row>
    <row r="560">
      <c r="A560" s="29" t="n">
        <v>45957</v>
      </c>
      <c r="B560" s="83" t="inlineStr">
        <is>
          <t>입금</t>
        </is>
      </c>
      <c r="C560" s="36" t="n">
        <v>10000</v>
      </c>
      <c r="D560" s="36">
        <f>D559+C560</f>
        <v/>
      </c>
      <c r="E560" s="83" t="inlineStr">
        <is>
          <t>일반입금</t>
        </is>
      </c>
      <c r="F560" s="83" t="inlineStr">
        <is>
          <t>원재식</t>
        </is>
      </c>
      <c r="G560" s="83" t="inlineStr">
        <is>
          <t>11월 회비</t>
        </is>
      </c>
    </row>
    <row r="561">
      <c r="A561" s="29" t="n">
        <v>45957</v>
      </c>
      <c r="B561" s="83" t="inlineStr">
        <is>
          <t>입금</t>
        </is>
      </c>
      <c r="C561" s="36" t="n">
        <v>30000</v>
      </c>
      <c r="D561" s="36">
        <f>D560+C561</f>
        <v/>
      </c>
      <c r="E561" s="83" t="inlineStr">
        <is>
          <t>일반입금</t>
        </is>
      </c>
      <c r="F561" s="83" t="inlineStr">
        <is>
          <t>정하림</t>
        </is>
      </c>
      <c r="G561" s="83" t="inlineStr">
        <is>
          <t>11월 회비</t>
        </is>
      </c>
    </row>
    <row r="562">
      <c r="A562" s="29" t="n">
        <v>45957</v>
      </c>
      <c r="B562" s="83" t="inlineStr">
        <is>
          <t>입금</t>
        </is>
      </c>
      <c r="C562" s="36" t="n">
        <v>30000</v>
      </c>
      <c r="D562" s="36">
        <f>D561+C562</f>
        <v/>
      </c>
      <c r="E562" s="83" t="inlineStr">
        <is>
          <t>일반입금</t>
        </is>
      </c>
      <c r="F562" s="83" t="inlineStr">
        <is>
          <t>배성은</t>
        </is>
      </c>
      <c r="G562" s="83" t="inlineStr">
        <is>
          <t>11월 회비</t>
        </is>
      </c>
    </row>
    <row r="563">
      <c r="A563" s="29" t="n">
        <v>45957</v>
      </c>
      <c r="B563" s="83" t="inlineStr">
        <is>
          <t>입금</t>
        </is>
      </c>
      <c r="C563" s="36" t="n">
        <v>30000</v>
      </c>
      <c r="D563" s="36">
        <f>D562+C563</f>
        <v/>
      </c>
      <c r="E563" s="83" t="inlineStr">
        <is>
          <t>일반입금</t>
        </is>
      </c>
      <c r="F563" s="83" t="inlineStr">
        <is>
          <t>정은용</t>
        </is>
      </c>
      <c r="G563" s="83" t="inlineStr">
        <is>
          <t>11월 회비</t>
        </is>
      </c>
    </row>
    <row r="564">
      <c r="A564" s="8" t="n">
        <v>45957</v>
      </c>
      <c r="B564" s="9" t="inlineStr">
        <is>
          <t>출금</t>
        </is>
      </c>
      <c r="C564" s="28" t="n">
        <v>-205260</v>
      </c>
      <c r="D564" s="28">
        <f>D563+C564</f>
        <v/>
      </c>
      <c r="E564" s="9" t="inlineStr">
        <is>
          <t>일반이체</t>
        </is>
      </c>
      <c r="F564" s="9" t="inlineStr">
        <is>
          <t>싸커피 스티커 제작</t>
        </is>
      </c>
      <c r="G564" s="9" t="inlineStr">
        <is>
          <t>싸커피 스티커</t>
        </is>
      </c>
    </row>
    <row r="565">
      <c r="A565" s="29" t="n">
        <v>45957</v>
      </c>
      <c r="B565" s="83" t="inlineStr">
        <is>
          <t>입금</t>
        </is>
      </c>
      <c r="C565" s="36" t="n">
        <v>15000</v>
      </c>
      <c r="D565" s="36">
        <f>D564+C565</f>
        <v/>
      </c>
      <c r="E565" s="83" t="inlineStr">
        <is>
          <t>일반입금</t>
        </is>
      </c>
      <c r="F565" s="83" t="inlineStr">
        <is>
          <t>이다혜(게스트방)</t>
        </is>
      </c>
      <c r="G565" s="83" t="inlineStr">
        <is>
          <t>게스트</t>
        </is>
      </c>
      <c r="H565" s="76" t="inlineStr">
        <is>
          <t>10/30 게스트</t>
        </is>
      </c>
    </row>
    <row r="566">
      <c r="A566" s="29" t="n">
        <v>45958</v>
      </c>
      <c r="B566" s="83" t="inlineStr">
        <is>
          <t>입금</t>
        </is>
      </c>
      <c r="C566" s="36" t="n">
        <v>15000</v>
      </c>
      <c r="D566" s="36">
        <f>D565+C566</f>
        <v/>
      </c>
      <c r="E566" s="83" t="inlineStr">
        <is>
          <t>일반입금</t>
        </is>
      </c>
      <c r="F566" s="83" t="inlineStr">
        <is>
          <t>한진영(승한게스트)</t>
        </is>
      </c>
      <c r="G566" s="83" t="inlineStr">
        <is>
          <t>게스트</t>
        </is>
      </c>
      <c r="H566" s="76" t="inlineStr">
        <is>
          <t>10/30 게스트</t>
        </is>
      </c>
    </row>
    <row r="567">
      <c r="A567" s="29" t="n">
        <v>45958</v>
      </c>
      <c r="B567" s="83" t="inlineStr">
        <is>
          <t>입금</t>
        </is>
      </c>
      <c r="C567" s="36" t="n">
        <v>15000</v>
      </c>
      <c r="D567" s="36">
        <f>D566+C567</f>
        <v/>
      </c>
      <c r="E567" s="83" t="inlineStr">
        <is>
          <t>일반입금</t>
        </is>
      </c>
      <c r="F567" s="83" t="inlineStr">
        <is>
          <t>김성현(승한게스트)</t>
        </is>
      </c>
      <c r="G567" s="83" t="inlineStr">
        <is>
          <t>게스트</t>
        </is>
      </c>
      <c r="H567" s="76" t="inlineStr">
        <is>
          <t>10/30 게스트</t>
        </is>
      </c>
    </row>
    <row r="568">
      <c r="A568" s="29" t="n">
        <v>45959</v>
      </c>
      <c r="B568" s="83" t="inlineStr">
        <is>
          <t>입금</t>
        </is>
      </c>
      <c r="C568" s="36" t="n">
        <v>15000</v>
      </c>
      <c r="D568" s="36">
        <f>D567+C568</f>
        <v/>
      </c>
      <c r="E568" s="83" t="inlineStr">
        <is>
          <t>일반입금</t>
        </is>
      </c>
      <c r="F568" s="83" t="inlineStr">
        <is>
          <t>양주원(민환게스트)</t>
        </is>
      </c>
      <c r="G568" s="83" t="inlineStr">
        <is>
          <t>게스트</t>
        </is>
      </c>
      <c r="H568" s="76" t="inlineStr">
        <is>
          <t>10/30 게스트</t>
        </is>
      </c>
    </row>
    <row r="569">
      <c r="A569" s="29" t="n">
        <v>45961</v>
      </c>
      <c r="B569" s="83" t="inlineStr">
        <is>
          <t>입금</t>
        </is>
      </c>
      <c r="C569" s="36" t="n">
        <v>15000</v>
      </c>
      <c r="D569" s="36">
        <f>D568+C569</f>
        <v/>
      </c>
      <c r="E569" s="83" t="inlineStr">
        <is>
          <t>일반입금</t>
        </is>
      </c>
      <c r="F569" s="83" t="inlineStr">
        <is>
          <t>장세영게스트</t>
        </is>
      </c>
      <c r="G569" s="83" t="inlineStr">
        <is>
          <t>게스트</t>
        </is>
      </c>
      <c r="H569" s="76" t="inlineStr">
        <is>
          <t>10/30 게스트</t>
        </is>
      </c>
    </row>
    <row r="570">
      <c r="A570" s="29" t="n"/>
      <c r="B570" s="14" t="inlineStr">
        <is>
          <t>이월금액</t>
        </is>
      </c>
      <c r="C570" s="27" t="n">
        <v>1299792</v>
      </c>
    </row>
    <row r="571">
      <c r="A571" s="29" t="n"/>
      <c r="B571" s="14" t="inlineStr">
        <is>
          <t>10월 입금</t>
        </is>
      </c>
      <c r="C571" s="27" t="n">
        <v>1570107</v>
      </c>
    </row>
    <row r="572">
      <c r="A572" s="29" t="n"/>
      <c r="B572" s="14" t="inlineStr">
        <is>
          <t>10월 출금</t>
        </is>
      </c>
      <c r="C572" s="27" t="n">
        <v>-1457260</v>
      </c>
    </row>
    <row r="573">
      <c r="A573" s="29" t="n">
        <v>45964</v>
      </c>
      <c r="B573" s="83" t="inlineStr">
        <is>
          <t>입금</t>
        </is>
      </c>
      <c r="C573" s="36" t="n">
        <v>15000</v>
      </c>
      <c r="D573" s="36">
        <f>D569+C573</f>
        <v/>
      </c>
      <c r="E573" s="83" t="inlineStr">
        <is>
          <t>일반입금</t>
        </is>
      </c>
      <c r="F573" s="83" t="inlineStr">
        <is>
          <t>박별이(브루노게스트)</t>
        </is>
      </c>
      <c r="G573" s="83" t="inlineStr">
        <is>
          <t>게스트</t>
        </is>
      </c>
      <c r="H573" s="76" t="inlineStr">
        <is>
          <t>11/5 게스트</t>
        </is>
      </c>
    </row>
    <row r="574">
      <c r="A574" s="29" t="n">
        <v>45964</v>
      </c>
      <c r="B574" s="83" t="inlineStr">
        <is>
          <t>입금</t>
        </is>
      </c>
      <c r="C574" s="36" t="n">
        <v>30000</v>
      </c>
      <c r="D574" s="36">
        <f>D573+C574</f>
        <v/>
      </c>
      <c r="E574" s="83" t="inlineStr">
        <is>
          <t>일반입금</t>
        </is>
      </c>
      <c r="F574" s="83" t="inlineStr">
        <is>
          <t>박지원</t>
        </is>
      </c>
      <c r="G574" s="83" t="inlineStr">
        <is>
          <t>11월 회비</t>
        </is>
      </c>
      <c r="H574" s="76" t="inlineStr">
        <is>
          <t>11/5 게스트</t>
        </is>
      </c>
    </row>
    <row r="575">
      <c r="A575" s="8" t="n">
        <v>45965</v>
      </c>
      <c r="B575" s="9" t="inlineStr">
        <is>
          <t>출금</t>
        </is>
      </c>
      <c r="C575" s="28" t="n">
        <v>-206800</v>
      </c>
      <c r="D575" s="28">
        <f>D574+C575</f>
        <v/>
      </c>
      <c r="E575" s="9" t="inlineStr">
        <is>
          <t>일반이체</t>
        </is>
      </c>
      <c r="F575" s="9" t="inlineStr">
        <is>
          <t>자수패치 추가제작</t>
        </is>
      </c>
      <c r="G575" s="9" t="inlineStr">
        <is>
          <t>자수패치</t>
        </is>
      </c>
    </row>
    <row r="576">
      <c r="A576" s="29" t="n">
        <v>45965</v>
      </c>
      <c r="B576" s="83" t="inlineStr">
        <is>
          <t>입금</t>
        </is>
      </c>
      <c r="C576" s="36" t="n">
        <v>15000</v>
      </c>
      <c r="D576" s="36">
        <f>D575+C576</f>
        <v/>
      </c>
      <c r="E576" s="83" t="inlineStr">
        <is>
          <t>일반입금</t>
        </is>
      </c>
      <c r="F576" s="83" t="inlineStr">
        <is>
          <t>김현식</t>
        </is>
      </c>
      <c r="G576" s="83" t="inlineStr">
        <is>
          <t>게스트</t>
        </is>
      </c>
      <c r="H576" s="76" t="inlineStr">
        <is>
          <t>11/5 게스트</t>
        </is>
      </c>
    </row>
    <row r="577">
      <c r="A577" s="29" t="n">
        <v>45965</v>
      </c>
      <c r="B577" s="83" t="inlineStr">
        <is>
          <t>입금</t>
        </is>
      </c>
      <c r="C577" s="36" t="n">
        <v>15000</v>
      </c>
      <c r="D577" s="36">
        <f>D576+C577</f>
        <v/>
      </c>
      <c r="E577" s="83" t="inlineStr">
        <is>
          <t>일반입금</t>
        </is>
      </c>
      <c r="F577" s="83" t="inlineStr">
        <is>
          <t>김바오로</t>
        </is>
      </c>
      <c r="G577" s="83" t="inlineStr">
        <is>
          <t>게스트</t>
        </is>
      </c>
      <c r="H577" s="76" t="inlineStr">
        <is>
          <t>11/5 게스트</t>
        </is>
      </c>
    </row>
    <row r="578">
      <c r="A578" s="29" t="n">
        <v>45966</v>
      </c>
      <c r="B578" s="83" t="inlineStr">
        <is>
          <t>입금</t>
        </is>
      </c>
      <c r="C578" s="36" t="n">
        <v>15000</v>
      </c>
      <c r="D578" s="36">
        <f>D577+C578</f>
        <v/>
      </c>
      <c r="E578" s="83" t="inlineStr">
        <is>
          <t>일반입금</t>
        </is>
      </c>
      <c r="F578" s="83" t="inlineStr">
        <is>
          <t>김태욱</t>
        </is>
      </c>
      <c r="G578" s="83" t="inlineStr">
        <is>
          <t>게스트</t>
        </is>
      </c>
      <c r="H578" s="76" t="inlineStr">
        <is>
          <t>11/5 게스트</t>
        </is>
      </c>
    </row>
    <row r="579">
      <c r="A579" s="29" t="n">
        <v>45966</v>
      </c>
      <c r="B579" s="83" t="inlineStr">
        <is>
          <t>입금</t>
        </is>
      </c>
      <c r="C579" s="36" t="n">
        <v>15000</v>
      </c>
      <c r="D579" s="36">
        <f>D578+C579</f>
        <v/>
      </c>
      <c r="E579" s="83" t="inlineStr">
        <is>
          <t>일반입금</t>
        </is>
      </c>
      <c r="F579" s="83" t="inlineStr">
        <is>
          <t>김기태</t>
        </is>
      </c>
      <c r="G579" s="83" t="inlineStr">
        <is>
          <t>게스트</t>
        </is>
      </c>
      <c r="H579" s="76" t="inlineStr">
        <is>
          <t>11/5 게스트</t>
        </is>
      </c>
    </row>
    <row r="580">
      <c r="A580" s="29" t="n">
        <v>45967</v>
      </c>
      <c r="B580" s="83" t="inlineStr">
        <is>
          <t>입금</t>
        </is>
      </c>
      <c r="C580" s="36" t="n">
        <v>15000</v>
      </c>
      <c r="D580" s="36">
        <f>D579+C580</f>
        <v/>
      </c>
      <c r="E580" s="83" t="inlineStr">
        <is>
          <t>일반입금</t>
        </is>
      </c>
      <c r="F580" s="83" t="inlineStr">
        <is>
          <t>표승철게스트</t>
        </is>
      </c>
      <c r="G580" s="83" t="inlineStr">
        <is>
          <t>게스트</t>
        </is>
      </c>
      <c r="H580" s="76" t="inlineStr">
        <is>
          <t>11/5 게스트</t>
        </is>
      </c>
    </row>
    <row r="581">
      <c r="A581" s="29" t="n">
        <v>45969</v>
      </c>
      <c r="B581" s="83" t="inlineStr">
        <is>
          <t>입금</t>
        </is>
      </c>
      <c r="C581" s="36" t="n">
        <v>30000</v>
      </c>
      <c r="D581" s="36">
        <f>D580+C581</f>
        <v/>
      </c>
      <c r="E581" s="83" t="inlineStr">
        <is>
          <t>일반입금</t>
        </is>
      </c>
      <c r="F581" s="83" t="inlineStr">
        <is>
          <t>안재영</t>
        </is>
      </c>
      <c r="G581" s="83" t="inlineStr">
        <is>
          <t>12월 회비</t>
        </is>
      </c>
    </row>
    <row r="582">
      <c r="A582" s="29" t="n">
        <v>45976</v>
      </c>
      <c r="B582" s="83" t="inlineStr">
        <is>
          <t>입금</t>
        </is>
      </c>
      <c r="C582" s="36" t="n">
        <v>10000</v>
      </c>
      <c r="D582" s="36">
        <f>D581+C582</f>
        <v/>
      </c>
      <c r="E582" s="83" t="inlineStr">
        <is>
          <t>일반입금</t>
        </is>
      </c>
      <c r="F582" s="83" t="inlineStr">
        <is>
          <t>최승호</t>
        </is>
      </c>
      <c r="G582" s="83" t="inlineStr">
        <is>
          <t>12월 회비</t>
        </is>
      </c>
    </row>
    <row r="583">
      <c r="A583" s="29" t="n">
        <v>45976</v>
      </c>
      <c r="B583" s="83" t="inlineStr">
        <is>
          <t>입금</t>
        </is>
      </c>
      <c r="C583" s="36" t="n">
        <v>30000</v>
      </c>
      <c r="D583" s="36">
        <f>D582+C583</f>
        <v/>
      </c>
      <c r="E583" s="83" t="inlineStr">
        <is>
          <t>일반입금</t>
        </is>
      </c>
      <c r="F583" s="83" t="inlineStr">
        <is>
          <t>임한</t>
        </is>
      </c>
      <c r="G583" s="83" t="inlineStr">
        <is>
          <t>12월 회비</t>
        </is>
      </c>
    </row>
    <row r="584">
      <c r="A584" s="29" t="n">
        <v>45976</v>
      </c>
      <c r="B584" s="83" t="inlineStr">
        <is>
          <t>입금</t>
        </is>
      </c>
      <c r="C584" s="36" t="n">
        <v>30000</v>
      </c>
      <c r="D584" s="36">
        <f>D583+C584</f>
        <v/>
      </c>
      <c r="E584" s="83" t="inlineStr">
        <is>
          <t>일반입금</t>
        </is>
      </c>
      <c r="F584" s="83" t="inlineStr">
        <is>
          <t>박원주</t>
        </is>
      </c>
      <c r="G584" s="83" t="inlineStr">
        <is>
          <t>12월 회비</t>
        </is>
      </c>
    </row>
    <row r="585">
      <c r="A585" s="29" t="n">
        <v>45978</v>
      </c>
      <c r="B585" s="83" t="inlineStr">
        <is>
          <t>입금</t>
        </is>
      </c>
      <c r="C585" s="36" t="n">
        <v>10000</v>
      </c>
      <c r="D585" s="36">
        <f>D584+C585</f>
        <v/>
      </c>
      <c r="E585" s="83" t="inlineStr">
        <is>
          <t>일반입금</t>
        </is>
      </c>
      <c r="F585" s="83" t="inlineStr">
        <is>
          <t>박승한</t>
        </is>
      </c>
      <c r="G585" s="83" t="inlineStr">
        <is>
          <t>12월 회비</t>
        </is>
      </c>
    </row>
    <row r="586">
      <c r="A586" s="29" t="n">
        <v>45981</v>
      </c>
      <c r="B586" s="83" t="inlineStr">
        <is>
          <t>입금</t>
        </is>
      </c>
      <c r="C586" s="36" t="n">
        <v>15000</v>
      </c>
      <c r="D586" s="36">
        <f>D585+C586</f>
        <v/>
      </c>
      <c r="E586" s="83" t="inlineStr">
        <is>
          <t>일반입금</t>
        </is>
      </c>
      <c r="F586" s="83" t="inlineStr">
        <is>
          <t>조수연(게스트 김기태)</t>
        </is>
      </c>
      <c r="G586" s="83" t="inlineStr">
        <is>
          <t>게스트</t>
        </is>
      </c>
      <c r="H586" s="76" t="inlineStr">
        <is>
          <t>11/19 게스트</t>
        </is>
      </c>
    </row>
    <row r="587">
      <c r="A587" s="29" t="n">
        <v>45982</v>
      </c>
      <c r="B587" s="83" t="inlineStr">
        <is>
          <t>입금</t>
        </is>
      </c>
      <c r="C587" s="36" t="n">
        <v>10000</v>
      </c>
      <c r="D587" s="36">
        <f>D586+C587</f>
        <v/>
      </c>
      <c r="E587" s="83" t="inlineStr">
        <is>
          <t>일반입금</t>
        </is>
      </c>
      <c r="F587" s="83" t="inlineStr">
        <is>
          <t>한재승(축구게스트)</t>
        </is>
      </c>
      <c r="G587" s="83" t="inlineStr">
        <is>
          <t>게스트</t>
        </is>
      </c>
      <c r="H587" s="76" t="inlineStr">
        <is>
          <t>11/22 축구</t>
        </is>
      </c>
    </row>
    <row r="588">
      <c r="A588" s="29" t="n">
        <v>45982</v>
      </c>
      <c r="B588" s="83" t="inlineStr">
        <is>
          <t>입금</t>
        </is>
      </c>
      <c r="C588" s="36" t="n">
        <v>10000</v>
      </c>
      <c r="D588" s="36">
        <f>D587+C588</f>
        <v/>
      </c>
      <c r="E588" s="83" t="inlineStr">
        <is>
          <t>일반입금</t>
        </is>
      </c>
      <c r="F588" s="83" t="inlineStr">
        <is>
          <t>최우석(우성)</t>
        </is>
      </c>
      <c r="G588" s="83" t="inlineStr">
        <is>
          <t>게스트</t>
        </is>
      </c>
      <c r="H588" s="76" t="inlineStr">
        <is>
          <t>11/22 축구</t>
        </is>
      </c>
    </row>
    <row r="589">
      <c r="A589" s="29" t="n">
        <v>45982</v>
      </c>
      <c r="B589" s="83" t="inlineStr">
        <is>
          <t>입금</t>
        </is>
      </c>
      <c r="C589" s="36" t="n">
        <v>10000</v>
      </c>
      <c r="D589" s="36">
        <f>D588+C589</f>
        <v/>
      </c>
      <c r="E589" s="83" t="inlineStr">
        <is>
          <t>일반입금</t>
        </is>
      </c>
      <c r="F589" s="83" t="inlineStr">
        <is>
          <t>조은애(축구게스트 신화영)</t>
        </is>
      </c>
      <c r="G589" s="83" t="inlineStr">
        <is>
          <t>게스트</t>
        </is>
      </c>
      <c r="H589" s="76" t="inlineStr">
        <is>
          <t>11/22 축구</t>
        </is>
      </c>
    </row>
    <row r="590">
      <c r="A590" s="29" t="n">
        <v>45982</v>
      </c>
      <c r="B590" s="83" t="inlineStr">
        <is>
          <t>입금</t>
        </is>
      </c>
      <c r="C590" s="36" t="n">
        <v>30000</v>
      </c>
      <c r="D590" s="36">
        <f>D589+C590</f>
        <v/>
      </c>
      <c r="E590" s="83" t="inlineStr">
        <is>
          <t>일반입금</t>
        </is>
      </c>
      <c r="F590" s="83" t="inlineStr">
        <is>
          <t>민주 동헌 게스트이준형(3인)</t>
        </is>
      </c>
      <c r="G590" s="83" t="inlineStr">
        <is>
          <t>게스트</t>
        </is>
      </c>
      <c r="H590" s="76" t="inlineStr">
        <is>
          <t>11/22 축구</t>
        </is>
      </c>
    </row>
    <row r="591">
      <c r="A591" s="29" t="n">
        <v>45983</v>
      </c>
      <c r="B591" s="83" t="inlineStr">
        <is>
          <t>입금</t>
        </is>
      </c>
      <c r="C591" s="36" t="n">
        <v>10000</v>
      </c>
      <c r="D591" s="36">
        <f>D590+C591</f>
        <v/>
      </c>
      <c r="E591" s="83" t="inlineStr">
        <is>
          <t>일반입금</t>
        </is>
      </c>
      <c r="F591" s="83" t="inlineStr">
        <is>
          <t>주예은</t>
        </is>
      </c>
      <c r="G591" s="83" t="inlineStr">
        <is>
          <t>게스트</t>
        </is>
      </c>
      <c r="H591" s="76" t="inlineStr">
        <is>
          <t>11/22 축구</t>
        </is>
      </c>
    </row>
    <row r="592">
      <c r="A592" s="29" t="n">
        <v>45983</v>
      </c>
      <c r="B592" s="83" t="inlineStr">
        <is>
          <t>입금</t>
        </is>
      </c>
      <c r="C592" s="36" t="n">
        <v>10000</v>
      </c>
      <c r="D592" s="36">
        <f>D591+C592</f>
        <v/>
      </c>
      <c r="E592" s="83" t="inlineStr">
        <is>
          <t>일반입금</t>
        </is>
      </c>
      <c r="F592" s="83" t="inlineStr">
        <is>
          <t>안재현</t>
        </is>
      </c>
      <c r="G592" s="83" t="inlineStr">
        <is>
          <t>게스트</t>
        </is>
      </c>
      <c r="H592" s="76" t="inlineStr">
        <is>
          <t>11/22 축구</t>
        </is>
      </c>
    </row>
    <row r="593">
      <c r="A593" s="29" t="n">
        <v>45983</v>
      </c>
      <c r="B593" s="83" t="inlineStr">
        <is>
          <t>입금</t>
        </is>
      </c>
      <c r="C593" s="36" t="n">
        <v>10000</v>
      </c>
      <c r="D593" s="36">
        <f>D592+C593</f>
        <v/>
      </c>
      <c r="E593" s="83" t="inlineStr">
        <is>
          <t>일반입금</t>
        </is>
      </c>
      <c r="F593" s="83" t="inlineStr">
        <is>
          <t>남현우</t>
        </is>
      </c>
      <c r="G593" s="83" t="inlineStr">
        <is>
          <t>게스트</t>
        </is>
      </c>
      <c r="H593" s="76" t="inlineStr">
        <is>
          <t>11/22 축구</t>
        </is>
      </c>
    </row>
    <row r="594">
      <c r="A594" s="29" t="n">
        <v>45983</v>
      </c>
      <c r="B594" s="83" t="inlineStr">
        <is>
          <t>입금</t>
        </is>
      </c>
      <c r="C594" s="36" t="n">
        <v>55000</v>
      </c>
      <c r="D594" s="36">
        <f>D593+C594</f>
        <v/>
      </c>
      <c r="E594" s="83" t="inlineStr">
        <is>
          <t>일반입금</t>
        </is>
      </c>
      <c r="F594" s="83" t="inlineStr">
        <is>
          <t>박우성</t>
        </is>
      </c>
      <c r="G594" s="83" t="inlineStr">
        <is>
          <t>유니폼1</t>
        </is>
      </c>
    </row>
    <row r="595">
      <c r="A595" s="29" t="n">
        <v>45983</v>
      </c>
      <c r="B595" s="83" t="inlineStr">
        <is>
          <t>입금</t>
        </is>
      </c>
      <c r="C595" s="36" t="n">
        <v>55000</v>
      </c>
      <c r="D595" s="36">
        <f>D594+C595</f>
        <v/>
      </c>
      <c r="E595" s="83" t="inlineStr">
        <is>
          <t>일반입금</t>
        </is>
      </c>
      <c r="F595" s="83" t="inlineStr">
        <is>
          <t>한승재</t>
        </is>
      </c>
      <c r="G595" s="83" t="inlineStr">
        <is>
          <t>유니폼2</t>
        </is>
      </c>
    </row>
    <row r="596">
      <c r="A596" s="29" t="n">
        <v>45983</v>
      </c>
      <c r="B596" s="83" t="inlineStr">
        <is>
          <t>입금</t>
        </is>
      </c>
      <c r="C596" s="36" t="n">
        <v>55000</v>
      </c>
      <c r="D596" s="36">
        <f>D595+C596</f>
        <v/>
      </c>
      <c r="E596" s="83" t="inlineStr">
        <is>
          <t>일반입금</t>
        </is>
      </c>
      <c r="F596" s="83" t="inlineStr">
        <is>
          <t>수연</t>
        </is>
      </c>
      <c r="G596" s="83" t="inlineStr">
        <is>
          <t>유니폼3</t>
        </is>
      </c>
    </row>
    <row r="597">
      <c r="A597" s="29" t="n">
        <v>45983</v>
      </c>
      <c r="B597" s="83" t="inlineStr">
        <is>
          <t>입금</t>
        </is>
      </c>
      <c r="C597" s="36" t="n">
        <v>55000</v>
      </c>
      <c r="D597" s="36">
        <f>D596+C597</f>
        <v/>
      </c>
      <c r="E597" s="83" t="inlineStr">
        <is>
          <t>일반입금</t>
        </is>
      </c>
      <c r="F597" s="83" t="inlineStr">
        <is>
          <t>도민환</t>
        </is>
      </c>
      <c r="G597" s="83" t="inlineStr">
        <is>
          <t>유니폼4</t>
        </is>
      </c>
    </row>
    <row r="598">
      <c r="A598" s="8" t="n">
        <v>45983</v>
      </c>
      <c r="B598" s="9" t="inlineStr">
        <is>
          <t>출금</t>
        </is>
      </c>
      <c r="C598" s="28" t="n">
        <v>-40500</v>
      </c>
      <c r="D598" s="28">
        <f>D597+C598</f>
        <v/>
      </c>
      <c r="E598" s="9" t="inlineStr">
        <is>
          <t>일반이체</t>
        </is>
      </c>
      <c r="F598" s="9" t="inlineStr">
        <is>
          <t>롯데슈퍼(주)마포점</t>
        </is>
      </c>
      <c r="G598" s="9" t="inlineStr">
        <is>
          <t>11/22 축구 음료수</t>
        </is>
      </c>
      <c r="H598" s="76" t="inlineStr">
        <is>
          <t>11/22 축구</t>
        </is>
      </c>
    </row>
    <row r="599">
      <c r="A599" s="29" t="n">
        <v>45983</v>
      </c>
      <c r="B599" s="83" t="inlineStr">
        <is>
          <t>입금</t>
        </is>
      </c>
      <c r="C599" s="36" t="n">
        <v>55000</v>
      </c>
      <c r="D599" s="36">
        <f>D598+C599</f>
        <v/>
      </c>
      <c r="E599" s="83" t="inlineStr">
        <is>
          <t>일반입금</t>
        </is>
      </c>
      <c r="F599" s="83" t="inlineStr">
        <is>
          <t>한재욱</t>
        </is>
      </c>
      <c r="G599" s="83" t="inlineStr">
        <is>
          <t>유니폼5</t>
        </is>
      </c>
    </row>
    <row r="600">
      <c r="A600" s="29" t="n">
        <v>45984</v>
      </c>
      <c r="B600" s="83" t="inlineStr">
        <is>
          <t>입금</t>
        </is>
      </c>
      <c r="C600" s="36" t="n">
        <v>55000</v>
      </c>
      <c r="D600" s="36">
        <f>D599+C600</f>
        <v/>
      </c>
      <c r="E600" s="83" t="inlineStr">
        <is>
          <t>일반입금</t>
        </is>
      </c>
      <c r="F600" s="83" t="inlineStr">
        <is>
          <t>함지상</t>
        </is>
      </c>
      <c r="G600" s="83" t="inlineStr">
        <is>
          <t>유니폼6</t>
        </is>
      </c>
    </row>
    <row r="601">
      <c r="A601" s="29" t="n">
        <v>45984</v>
      </c>
      <c r="B601" s="83" t="inlineStr">
        <is>
          <t>입금</t>
        </is>
      </c>
      <c r="C601" s="36" t="n">
        <v>10000</v>
      </c>
      <c r="D601" s="36">
        <f>D600+C601</f>
        <v/>
      </c>
      <c r="E601" s="83" t="inlineStr">
        <is>
          <t>일반입금</t>
        </is>
      </c>
      <c r="F601" s="83" t="inlineStr">
        <is>
          <t>김산</t>
        </is>
      </c>
      <c r="G601" s="83" t="inlineStr">
        <is>
          <t>게스트</t>
        </is>
      </c>
      <c r="H601" s="76" t="inlineStr">
        <is>
          <t>11/22 축구</t>
        </is>
      </c>
    </row>
    <row r="602">
      <c r="A602" s="29" t="n">
        <v>45985</v>
      </c>
      <c r="B602" s="83" t="inlineStr">
        <is>
          <t>입금</t>
        </is>
      </c>
      <c r="C602" s="36" t="n">
        <v>10000</v>
      </c>
      <c r="D602" s="36">
        <f>D601+C602</f>
        <v/>
      </c>
      <c r="E602" s="83" t="inlineStr">
        <is>
          <t>일반입금</t>
        </is>
      </c>
      <c r="F602" s="83" t="inlineStr">
        <is>
          <t>홍순인</t>
        </is>
      </c>
      <c r="G602" s="83" t="inlineStr">
        <is>
          <t>12월 회비</t>
        </is>
      </c>
    </row>
    <row r="603">
      <c r="A603" s="29" t="n">
        <v>45985</v>
      </c>
      <c r="B603" s="83" t="inlineStr">
        <is>
          <t>입금</t>
        </is>
      </c>
      <c r="C603" s="36" t="n">
        <v>30000</v>
      </c>
      <c r="D603" s="36">
        <f>D602+C603</f>
        <v/>
      </c>
      <c r="E603" s="83" t="inlineStr">
        <is>
          <t>일반입금</t>
        </is>
      </c>
      <c r="F603" s="83" t="inlineStr">
        <is>
          <t>이민국</t>
        </is>
      </c>
      <c r="G603" s="83" t="inlineStr">
        <is>
          <t>12월 회비</t>
        </is>
      </c>
    </row>
    <row r="604">
      <c r="A604" s="29" t="n">
        <v>45985</v>
      </c>
      <c r="B604" s="83" t="inlineStr">
        <is>
          <t>입금</t>
        </is>
      </c>
      <c r="C604" s="36" t="n">
        <v>30000</v>
      </c>
      <c r="D604" s="36">
        <f>D603+C604</f>
        <v/>
      </c>
      <c r="E604" s="83" t="inlineStr">
        <is>
          <t>일반입금</t>
        </is>
      </c>
      <c r="F604" s="83" t="inlineStr">
        <is>
          <t>박우성</t>
        </is>
      </c>
      <c r="G604" s="83" t="inlineStr">
        <is>
          <t>12월 회비</t>
        </is>
      </c>
    </row>
    <row r="605">
      <c r="A605" s="16" t="n">
        <v>45985</v>
      </c>
      <c r="B605" s="41" t="inlineStr">
        <is>
          <t>입금</t>
        </is>
      </c>
      <c r="C605" s="40" t="n">
        <v>30000</v>
      </c>
      <c r="D605" s="40">
        <f>D604+C605</f>
        <v/>
      </c>
      <c r="E605" s="41" t="inlineStr">
        <is>
          <t>일반입금</t>
        </is>
      </c>
      <c r="F605" s="41" t="inlineStr">
        <is>
          <t>박원주</t>
        </is>
      </c>
      <c r="G605" s="41" t="inlineStr">
        <is>
          <t>12월 회비 상계</t>
        </is>
      </c>
      <c r="H605" s="76" t="inlineStr">
        <is>
          <t>12월 회비 2회 입금으로 환불</t>
        </is>
      </c>
    </row>
    <row r="606">
      <c r="A606" s="29" t="n">
        <v>45986</v>
      </c>
      <c r="B606" s="83" t="inlineStr">
        <is>
          <t>입금</t>
        </is>
      </c>
      <c r="C606" s="36" t="n">
        <v>20000</v>
      </c>
      <c r="D606" s="36">
        <f>D605+C606</f>
        <v/>
      </c>
      <c r="E606" s="83" t="inlineStr">
        <is>
          <t>일반입금</t>
        </is>
      </c>
      <c r="F606" s="83" t="inlineStr">
        <is>
          <t>희범 이연</t>
        </is>
      </c>
      <c r="G606" s="83" t="inlineStr">
        <is>
          <t>12월 회비</t>
        </is>
      </c>
    </row>
    <row r="607">
      <c r="A607" s="29" t="n">
        <v>45986</v>
      </c>
      <c r="B607" s="83" t="inlineStr">
        <is>
          <t>입금</t>
        </is>
      </c>
      <c r="C607" s="36" t="n">
        <v>10000</v>
      </c>
      <c r="D607" s="36">
        <f>D606+C607</f>
        <v/>
      </c>
      <c r="E607" s="83" t="inlineStr">
        <is>
          <t>일반입금</t>
        </is>
      </c>
      <c r="F607" s="83" t="inlineStr">
        <is>
          <t>원재식</t>
        </is>
      </c>
      <c r="G607" s="83" t="inlineStr">
        <is>
          <t>12월 회비</t>
        </is>
      </c>
    </row>
    <row r="608">
      <c r="A608" s="29" t="n">
        <v>45986</v>
      </c>
      <c r="B608" s="83" t="inlineStr">
        <is>
          <t>입금</t>
        </is>
      </c>
      <c r="C608" s="36" t="n">
        <v>55000</v>
      </c>
      <c r="D608" s="36">
        <f>D607+C608</f>
        <v/>
      </c>
      <c r="E608" s="83" t="inlineStr">
        <is>
          <t>일반입금</t>
        </is>
      </c>
      <c r="F608" s="83" t="inlineStr">
        <is>
          <t>마상현</t>
        </is>
      </c>
      <c r="G608" s="83" t="inlineStr">
        <is>
          <t>유니폼7</t>
        </is>
      </c>
    </row>
    <row r="609">
      <c r="A609" s="29" t="n">
        <v>45986</v>
      </c>
      <c r="B609" s="83" t="inlineStr">
        <is>
          <t>입금</t>
        </is>
      </c>
      <c r="C609" s="36" t="n">
        <v>30000</v>
      </c>
      <c r="D609" s="36">
        <f>D608+C609</f>
        <v/>
      </c>
      <c r="E609" s="83" t="inlineStr">
        <is>
          <t>일반입금</t>
        </is>
      </c>
      <c r="F609" s="83" t="inlineStr">
        <is>
          <t>마상현</t>
        </is>
      </c>
      <c r="G609" s="83" t="inlineStr">
        <is>
          <t>12월 회비</t>
        </is>
      </c>
    </row>
    <row r="610">
      <c r="A610" s="29" t="n">
        <v>45986</v>
      </c>
      <c r="B610" s="83" t="inlineStr">
        <is>
          <t>입금</t>
        </is>
      </c>
      <c r="C610" s="36" t="n">
        <v>85000</v>
      </c>
      <c r="D610" s="36">
        <f>D609+C610</f>
        <v/>
      </c>
      <c r="E610" s="83" t="inlineStr">
        <is>
          <t>일반입금</t>
        </is>
      </c>
      <c r="F610" s="83" t="inlineStr">
        <is>
          <t>조수경</t>
        </is>
      </c>
      <c r="G610" s="83" t="inlineStr">
        <is>
          <t>12월 회비+유니폼</t>
        </is>
      </c>
    </row>
    <row r="611">
      <c r="A611" s="29" t="n">
        <v>45986</v>
      </c>
      <c r="B611" s="83" t="inlineStr">
        <is>
          <t>입금</t>
        </is>
      </c>
      <c r="C611" s="36" t="n">
        <v>605000</v>
      </c>
      <c r="D611" s="36">
        <f>D610+C611</f>
        <v/>
      </c>
      <c r="E611" s="83" t="inlineStr">
        <is>
          <t>일반입금</t>
        </is>
      </c>
      <c r="F611" s="83" t="inlineStr">
        <is>
          <t xml:space="preserve">최승호 </t>
        </is>
      </c>
      <c r="G611" s="83" t="inlineStr">
        <is>
          <t>유니폼8-18(11개)</t>
        </is>
      </c>
    </row>
    <row r="612">
      <c r="A612" s="8" t="n">
        <v>45986</v>
      </c>
      <c r="B612" s="9" t="inlineStr">
        <is>
          <t>출금</t>
        </is>
      </c>
      <c r="C612" s="28" t="n">
        <v>-608000</v>
      </c>
      <c r="D612" s="28">
        <f>D611+C612</f>
        <v/>
      </c>
      <c r="E612" s="9" t="inlineStr">
        <is>
          <t>일반이체</t>
        </is>
      </c>
      <c r="F612" s="9" t="inlineStr">
        <is>
          <t>유니폼 제작비</t>
        </is>
      </c>
      <c r="G612" s="9" t="inlineStr">
        <is>
          <t>유니폼(20개)</t>
        </is>
      </c>
    </row>
    <row r="613">
      <c r="A613" s="8" t="n">
        <v>45986</v>
      </c>
      <c r="B613" s="9" t="inlineStr">
        <is>
          <t>출금</t>
        </is>
      </c>
      <c r="C613" s="28" t="n">
        <v>-1200000</v>
      </c>
      <c r="D613" s="28">
        <f>D612+C613</f>
        <v/>
      </c>
      <c r="E613" s="9" t="inlineStr">
        <is>
          <t>일반이체</t>
        </is>
      </c>
      <c r="F613" s="9" t="inlineStr">
        <is>
          <t>12월 구장</t>
        </is>
      </c>
      <c r="G613" s="9" t="inlineStr">
        <is>
          <t>12월/1월 구장</t>
        </is>
      </c>
      <c r="H613" s="76" t="inlineStr">
        <is>
          <t>12월/1월 전체(영등포)</t>
        </is>
      </c>
    </row>
    <row r="614">
      <c r="A614" s="29" t="n">
        <v>45986</v>
      </c>
      <c r="B614" s="83" t="inlineStr">
        <is>
          <t>입금</t>
        </is>
      </c>
      <c r="C614" s="36" t="n">
        <v>55000</v>
      </c>
      <c r="D614" s="36">
        <f>D613+C614</f>
        <v/>
      </c>
      <c r="E614" s="83" t="inlineStr">
        <is>
          <t>일반입금</t>
        </is>
      </c>
      <c r="F614" s="83" t="inlineStr">
        <is>
          <t>DA CONCEIC(브루노)</t>
        </is>
      </c>
      <c r="G614" s="83" t="inlineStr">
        <is>
          <t>유니폼19</t>
        </is>
      </c>
    </row>
    <row r="615">
      <c r="A615" s="29" t="n">
        <v>45986</v>
      </c>
      <c r="B615" s="83" t="inlineStr">
        <is>
          <t>입금</t>
        </is>
      </c>
      <c r="C615" s="36" t="n">
        <v>30000</v>
      </c>
      <c r="D615" s="36">
        <f>D614+C615</f>
        <v/>
      </c>
      <c r="E615" s="83" t="inlineStr">
        <is>
          <t>일반입금</t>
        </is>
      </c>
      <c r="F615" s="83" t="inlineStr">
        <is>
          <t>DA CONCEIC(브루노)</t>
        </is>
      </c>
      <c r="G615" s="83" t="inlineStr">
        <is>
          <t>12월 회비</t>
        </is>
      </c>
    </row>
    <row r="616">
      <c r="A616" s="29" t="n">
        <v>45986</v>
      </c>
      <c r="B616" s="83" t="inlineStr">
        <is>
          <t>입금</t>
        </is>
      </c>
      <c r="C616" s="36" t="n">
        <v>30000</v>
      </c>
      <c r="D616" s="36">
        <f>D615+C616</f>
        <v/>
      </c>
      <c r="E616" s="83" t="inlineStr">
        <is>
          <t>일반입금</t>
        </is>
      </c>
      <c r="F616" s="83" t="inlineStr">
        <is>
          <t>장세영</t>
        </is>
      </c>
      <c r="G616" s="83" t="inlineStr">
        <is>
          <t>12월 회비</t>
        </is>
      </c>
    </row>
    <row r="617">
      <c r="A617" s="29" t="n">
        <v>45986</v>
      </c>
      <c r="B617" s="83" t="inlineStr">
        <is>
          <t>입금</t>
        </is>
      </c>
      <c r="C617" s="36" t="n">
        <v>30000</v>
      </c>
      <c r="D617" s="36">
        <f>D616+C617</f>
        <v/>
      </c>
      <c r="E617" s="83" t="inlineStr">
        <is>
          <t>일반입금</t>
        </is>
      </c>
      <c r="F617" s="83" t="inlineStr">
        <is>
          <t>표승철</t>
        </is>
      </c>
      <c r="G617" s="83" t="inlineStr">
        <is>
          <t>12월 회비</t>
        </is>
      </c>
    </row>
    <row r="618">
      <c r="A618" s="16" t="n">
        <v>45986</v>
      </c>
      <c r="B618" s="17" t="inlineStr">
        <is>
          <t>출금</t>
        </is>
      </c>
      <c r="C618" s="32" t="n">
        <v>-22898</v>
      </c>
      <c r="D618" s="32">
        <f>D617+C618</f>
        <v/>
      </c>
      <c r="E618" s="17" t="inlineStr">
        <is>
          <t>일반이체</t>
        </is>
      </c>
      <c r="F618" s="17" t="inlineStr">
        <is>
          <t>박원주 회비 환불</t>
        </is>
      </c>
      <c r="G618" s="17" t="inlineStr">
        <is>
          <t>회비 환불</t>
        </is>
      </c>
      <c r="H618" s="76" t="inlineStr">
        <is>
          <t>12월 회비 2회 입금으로 환불</t>
        </is>
      </c>
    </row>
    <row r="619">
      <c r="A619" s="16" t="n">
        <v>45986</v>
      </c>
      <c r="B619" s="17" t="inlineStr">
        <is>
          <t>출금</t>
        </is>
      </c>
      <c r="C619" s="32" t="n">
        <v>-7102</v>
      </c>
      <c r="D619" s="32">
        <f>D618+C619</f>
        <v/>
      </c>
      <c r="E619" s="17" t="inlineStr">
        <is>
          <t>일반이체</t>
        </is>
      </c>
      <c r="F619" s="17" t="inlineStr">
        <is>
          <t>박원주 회비 환불</t>
        </is>
      </c>
      <c r="G619" s="17" t="inlineStr">
        <is>
          <t>회비 환불</t>
        </is>
      </c>
      <c r="H619" s="76" t="inlineStr">
        <is>
          <t>12월 회비 2회 입금으로 환불</t>
        </is>
      </c>
    </row>
    <row r="620">
      <c r="A620" s="29" t="n">
        <v>45986</v>
      </c>
      <c r="B620" s="83" t="inlineStr">
        <is>
          <t>입금</t>
        </is>
      </c>
      <c r="C620" s="36" t="n">
        <v>30000</v>
      </c>
      <c r="D620" s="36">
        <f>D619+C620</f>
        <v/>
      </c>
      <c r="E620" s="83" t="inlineStr">
        <is>
          <t>일반입금</t>
        </is>
      </c>
      <c r="F620" s="83" t="inlineStr">
        <is>
          <t>정은용</t>
        </is>
      </c>
      <c r="G620" s="83" t="inlineStr">
        <is>
          <t>12월 회비</t>
        </is>
      </c>
    </row>
    <row r="621">
      <c r="A621" s="29" t="n">
        <v>45986</v>
      </c>
      <c r="B621" s="83" t="inlineStr">
        <is>
          <t>입금</t>
        </is>
      </c>
      <c r="C621" s="36" t="n">
        <v>30000</v>
      </c>
      <c r="D621" s="36">
        <f>D620+C621</f>
        <v/>
      </c>
      <c r="E621" s="83" t="inlineStr">
        <is>
          <t>일반입금</t>
        </is>
      </c>
      <c r="F621" s="83" t="inlineStr">
        <is>
          <t>박민규</t>
        </is>
      </c>
      <c r="G621" s="83" t="inlineStr">
        <is>
          <t>12월 회비</t>
        </is>
      </c>
    </row>
    <row r="622">
      <c r="A622" s="29" t="n">
        <v>45986</v>
      </c>
      <c r="B622" s="83" t="inlineStr">
        <is>
          <t>입금</t>
        </is>
      </c>
      <c r="C622" s="36" t="n">
        <v>30000</v>
      </c>
      <c r="D622" s="36">
        <f>D621+C622</f>
        <v/>
      </c>
      <c r="E622" s="83" t="inlineStr">
        <is>
          <t>일반입금</t>
        </is>
      </c>
      <c r="F622" s="83" t="inlineStr">
        <is>
          <t>박지원</t>
        </is>
      </c>
      <c r="G622" s="83" t="inlineStr">
        <is>
          <t>12월 회비</t>
        </is>
      </c>
    </row>
    <row r="623">
      <c r="A623" s="29" t="n">
        <v>45986</v>
      </c>
      <c r="B623" s="83" t="inlineStr">
        <is>
          <t>입금</t>
        </is>
      </c>
      <c r="C623" s="36" t="n">
        <v>30000</v>
      </c>
      <c r="D623" s="36">
        <f>D622+C623</f>
        <v/>
      </c>
      <c r="E623" s="83" t="inlineStr">
        <is>
          <t>일반입금</t>
        </is>
      </c>
      <c r="F623" s="83" t="inlineStr">
        <is>
          <t>김재선(박민규게스트)</t>
        </is>
      </c>
      <c r="G623" s="83" t="inlineStr">
        <is>
          <t>게스트</t>
        </is>
      </c>
      <c r="H623" s="76" t="inlineStr">
        <is>
          <t>11/12, 11/19 게스트</t>
        </is>
      </c>
    </row>
    <row r="624">
      <c r="A624" s="29" t="n">
        <v>45986</v>
      </c>
      <c r="B624" s="83" t="inlineStr">
        <is>
          <t>입금</t>
        </is>
      </c>
      <c r="C624" s="36" t="n">
        <v>55000</v>
      </c>
      <c r="D624" s="36">
        <f>D623+C624</f>
        <v/>
      </c>
      <c r="E624" s="83" t="inlineStr">
        <is>
          <t>일반입금</t>
        </is>
      </c>
      <c r="F624" s="83" t="inlineStr">
        <is>
          <t>박승한</t>
        </is>
      </c>
      <c r="G624" s="83" t="inlineStr">
        <is>
          <t>유니폼20</t>
        </is>
      </c>
    </row>
    <row r="625">
      <c r="A625" s="29" t="n">
        <v>45987</v>
      </c>
      <c r="B625" s="83" t="inlineStr">
        <is>
          <t>입금</t>
        </is>
      </c>
      <c r="C625" s="36" t="n">
        <v>30000</v>
      </c>
      <c r="D625" s="36">
        <f>D624+C625</f>
        <v/>
      </c>
      <c r="E625" s="83" t="inlineStr">
        <is>
          <t>일반입금</t>
        </is>
      </c>
      <c r="F625" s="83" t="inlineStr">
        <is>
          <t>한재욱</t>
        </is>
      </c>
      <c r="G625" s="83" t="inlineStr">
        <is>
          <t>12월 회비</t>
        </is>
      </c>
    </row>
    <row r="626">
      <c r="A626" s="29" t="n">
        <v>45988</v>
      </c>
      <c r="B626" s="83" t="inlineStr">
        <is>
          <t>입금</t>
        </is>
      </c>
      <c r="C626" s="36" t="n">
        <v>30000</v>
      </c>
      <c r="D626" s="36">
        <f>D625+C626</f>
        <v/>
      </c>
      <c r="E626" s="83" t="inlineStr">
        <is>
          <t>일반입금</t>
        </is>
      </c>
      <c r="F626" s="83" t="inlineStr">
        <is>
          <t>정하림</t>
        </is>
      </c>
      <c r="G626" s="83" t="inlineStr">
        <is>
          <t>12월 회비</t>
        </is>
      </c>
    </row>
    <row r="627">
      <c r="A627" s="29" t="n">
        <v>45989</v>
      </c>
      <c r="B627" s="83" t="inlineStr">
        <is>
          <t>입금</t>
        </is>
      </c>
      <c r="C627" s="36" t="n">
        <v>30000</v>
      </c>
      <c r="D627" s="36">
        <f>D626+C627</f>
        <v/>
      </c>
      <c r="E627" s="83" t="inlineStr">
        <is>
          <t>일반입금</t>
        </is>
      </c>
      <c r="F627" s="83" t="inlineStr">
        <is>
          <t>조수연</t>
        </is>
      </c>
      <c r="G627" s="83" t="inlineStr">
        <is>
          <t>12월 회비</t>
        </is>
      </c>
    </row>
    <row r="628">
      <c r="A628" s="29" t="n">
        <v>45990</v>
      </c>
      <c r="B628" s="83" t="inlineStr">
        <is>
          <t>입금</t>
        </is>
      </c>
      <c r="C628" s="36" t="n">
        <v>125</v>
      </c>
      <c r="D628" s="36">
        <f>D627+C628</f>
        <v/>
      </c>
      <c r="E628" s="83" t="inlineStr">
        <is>
          <t>일반입금</t>
        </is>
      </c>
      <c r="F628" s="83" t="inlineStr">
        <is>
          <t>입출금통장이자</t>
        </is>
      </c>
      <c r="G628" s="83" t="inlineStr">
        <is>
          <t>기타</t>
        </is>
      </c>
    </row>
    <row r="629">
      <c r="A629" s="29" t="n"/>
      <c r="B629" s="14" t="inlineStr">
        <is>
          <t>이월금액</t>
        </is>
      </c>
      <c r="C629" s="27" t="n">
        <v>1412639</v>
      </c>
      <c r="D629" s="36" t="n"/>
      <c r="E629" s="83" t="n"/>
      <c r="F629" s="83" t="n"/>
      <c r="G629" s="83" t="n"/>
    </row>
    <row r="630">
      <c r="A630" s="29" t="n"/>
      <c r="B630" s="14" t="inlineStr">
        <is>
          <t>11월 입금</t>
        </is>
      </c>
      <c r="C630" s="27" t="n">
        <v>1990125</v>
      </c>
    </row>
    <row r="631">
      <c r="A631" s="29" t="n"/>
      <c r="B631" s="14" t="inlineStr">
        <is>
          <t>11월 출금</t>
        </is>
      </c>
      <c r="C631" s="27" t="n">
        <v>-2085300</v>
      </c>
    </row>
    <row r="632">
      <c r="A632" s="29" t="n">
        <v>45992</v>
      </c>
      <c r="B632" s="83" t="inlineStr">
        <is>
          <t>입금</t>
        </is>
      </c>
      <c r="C632" s="36" t="n">
        <v>30000</v>
      </c>
      <c r="D632" s="36">
        <f>D628+C632</f>
        <v/>
      </c>
      <c r="E632" s="83" t="inlineStr">
        <is>
          <t>일반입금</t>
        </is>
      </c>
      <c r="F632" s="83" t="inlineStr">
        <is>
          <t>김우경</t>
        </is>
      </c>
      <c r="G632" s="83" t="inlineStr">
        <is>
          <t>12월 회비</t>
        </is>
      </c>
    </row>
    <row r="633">
      <c r="A633" s="29" t="n">
        <v>45992</v>
      </c>
      <c r="B633" s="83" t="inlineStr">
        <is>
          <t>입금</t>
        </is>
      </c>
      <c r="C633" s="36" t="n">
        <v>30000</v>
      </c>
      <c r="D633" s="36">
        <f>D632+C633</f>
        <v/>
      </c>
      <c r="E633" s="83" t="inlineStr">
        <is>
          <t>일반입금</t>
        </is>
      </c>
      <c r="F633" s="83" t="inlineStr">
        <is>
          <t>최신비</t>
        </is>
      </c>
      <c r="G633" s="83" t="inlineStr">
        <is>
          <t>12월 회비</t>
        </is>
      </c>
    </row>
    <row r="634">
      <c r="A634" s="29" t="n">
        <v>45992</v>
      </c>
      <c r="B634" s="83" t="inlineStr">
        <is>
          <t>입금</t>
        </is>
      </c>
      <c r="C634" s="36" t="n">
        <v>30000</v>
      </c>
      <c r="D634" s="36">
        <f>D633+C634</f>
        <v/>
      </c>
      <c r="E634" s="83" t="inlineStr">
        <is>
          <t>일반입금</t>
        </is>
      </c>
      <c r="F634" s="83" t="inlineStr">
        <is>
          <t>배성은</t>
        </is>
      </c>
      <c r="G634" s="83" t="inlineStr">
        <is>
          <t>12월 회비</t>
        </is>
      </c>
    </row>
    <row r="635">
      <c r="A635" s="29" t="n">
        <v>45994</v>
      </c>
      <c r="B635" s="83" t="inlineStr">
        <is>
          <t>입금</t>
        </is>
      </c>
      <c r="C635" s="36" t="n">
        <v>15000</v>
      </c>
      <c r="D635" s="36">
        <f>D634+C635</f>
        <v/>
      </c>
      <c r="E635" s="83" t="inlineStr">
        <is>
          <t>일반입금</t>
        </is>
      </c>
      <c r="F635" s="83" t="inlineStr">
        <is>
          <t>김민주(게스트)</t>
        </is>
      </c>
      <c r="G635" s="83" t="inlineStr">
        <is>
          <t>게스트</t>
        </is>
      </c>
      <c r="H635" s="76" t="inlineStr">
        <is>
          <t>12/3 게스트</t>
        </is>
      </c>
    </row>
    <row r="636">
      <c r="A636" s="29" t="n">
        <v>46001</v>
      </c>
      <c r="B636" s="83" t="inlineStr">
        <is>
          <t>입금</t>
        </is>
      </c>
      <c r="C636" s="36" t="n">
        <v>162</v>
      </c>
      <c r="D636" s="36">
        <f>D635+C636</f>
        <v/>
      </c>
      <c r="E636" s="83" t="inlineStr">
        <is>
          <t>일반입금</t>
        </is>
      </c>
      <c r="F636" s="83" t="inlineStr">
        <is>
          <t>프렌즈 체크카드 캐시백</t>
        </is>
      </c>
      <c r="G636" s="83" t="inlineStr">
        <is>
          <t>기타</t>
        </is>
      </c>
    </row>
    <row r="637">
      <c r="A637" s="29" t="n">
        <v>46007</v>
      </c>
      <c r="B637" s="83" t="inlineStr">
        <is>
          <t>입금</t>
        </is>
      </c>
      <c r="C637" s="36" t="n">
        <v>30000</v>
      </c>
      <c r="D637" s="36">
        <f>D636+C637</f>
        <v/>
      </c>
      <c r="E637" s="83" t="inlineStr">
        <is>
          <t>일반입금</t>
        </is>
      </c>
      <c r="F637" s="83" t="inlineStr">
        <is>
          <t>안재영</t>
        </is>
      </c>
      <c r="G637" s="83" t="inlineStr">
        <is>
          <t xml:space="preserve">1월 회비 </t>
        </is>
      </c>
    </row>
    <row r="638">
      <c r="A638" s="29" t="n">
        <v>46007</v>
      </c>
      <c r="B638" s="83" t="inlineStr">
        <is>
          <t>입금</t>
        </is>
      </c>
      <c r="C638" s="36" t="n">
        <v>15000</v>
      </c>
      <c r="D638" s="36">
        <f>D637+C638</f>
        <v/>
      </c>
      <c r="E638" s="83" t="inlineStr">
        <is>
          <t>일반입금</t>
        </is>
      </c>
      <c r="F638" s="83" t="inlineStr">
        <is>
          <t>최승호게스트</t>
        </is>
      </c>
      <c r="G638" s="83" t="inlineStr">
        <is>
          <t>게스트</t>
        </is>
      </c>
      <c r="H638" s="76" t="inlineStr">
        <is>
          <t>12/17 게스트</t>
        </is>
      </c>
    </row>
    <row r="639">
      <c r="A639" s="29" t="n">
        <v>46008</v>
      </c>
      <c r="B639" s="83" t="inlineStr">
        <is>
          <t>입금</t>
        </is>
      </c>
      <c r="C639" s="36" t="n">
        <v>10000</v>
      </c>
      <c r="D639" s="36">
        <f>D638+C639</f>
        <v/>
      </c>
      <c r="E639" s="83" t="inlineStr">
        <is>
          <t>일반입금</t>
        </is>
      </c>
      <c r="F639" s="83" t="inlineStr">
        <is>
          <t>최승호</t>
        </is>
      </c>
      <c r="G639" s="83" t="inlineStr">
        <is>
          <t xml:space="preserve">1월 회비 </t>
        </is>
      </c>
    </row>
    <row r="640">
      <c r="A640" s="29" t="n">
        <v>46018</v>
      </c>
      <c r="B640" s="83" t="inlineStr">
        <is>
          <t>입금</t>
        </is>
      </c>
      <c r="C640" s="36" t="n">
        <v>100</v>
      </c>
      <c r="D640" s="36">
        <f>D639+C640</f>
        <v/>
      </c>
      <c r="E640" s="83" t="inlineStr">
        <is>
          <t>일반입금</t>
        </is>
      </c>
      <c r="F640" s="83" t="inlineStr">
        <is>
          <t>입출금통장이자</t>
        </is>
      </c>
      <c r="G640" s="83" t="inlineStr">
        <is>
          <t>기타</t>
        </is>
      </c>
    </row>
    <row r="641">
      <c r="A641" s="29" t="n">
        <v>46018</v>
      </c>
      <c r="B641" s="83" t="inlineStr">
        <is>
          <t>입금</t>
        </is>
      </c>
      <c r="C641" s="36" t="n">
        <v>30000</v>
      </c>
      <c r="D641" s="36">
        <f>D640+C641</f>
        <v/>
      </c>
      <c r="E641" s="83" t="inlineStr">
        <is>
          <t>일반입금</t>
        </is>
      </c>
      <c r="F641" s="83" t="inlineStr">
        <is>
          <t>이민국</t>
        </is>
      </c>
      <c r="G641" s="83" t="inlineStr">
        <is>
          <t xml:space="preserve">1월 회비 </t>
        </is>
      </c>
    </row>
    <row r="642">
      <c r="A642" s="29" t="n">
        <v>46018</v>
      </c>
      <c r="B642" s="83" t="inlineStr">
        <is>
          <t>입금</t>
        </is>
      </c>
      <c r="C642" s="36" t="n">
        <v>30000</v>
      </c>
      <c r="D642" s="36">
        <f>D641+C642</f>
        <v/>
      </c>
      <c r="E642" s="83" t="inlineStr">
        <is>
          <t>일반입금</t>
        </is>
      </c>
      <c r="F642" s="83" t="inlineStr">
        <is>
          <t>박우성</t>
        </is>
      </c>
      <c r="G642" s="83" t="inlineStr">
        <is>
          <t xml:space="preserve">1월 회비 </t>
        </is>
      </c>
    </row>
    <row r="643">
      <c r="A643" s="29" t="n">
        <v>46018</v>
      </c>
      <c r="B643" s="83" t="inlineStr">
        <is>
          <t>입금</t>
        </is>
      </c>
      <c r="C643" s="36" t="n">
        <v>30000</v>
      </c>
      <c r="D643" s="36">
        <f>D642+C643</f>
        <v/>
      </c>
      <c r="E643" s="83" t="inlineStr">
        <is>
          <t>일반입금</t>
        </is>
      </c>
      <c r="F643" s="83" t="inlineStr">
        <is>
          <t>조수연</t>
        </is>
      </c>
      <c r="G643" s="83" t="inlineStr">
        <is>
          <t xml:space="preserve">1월 회비 </t>
        </is>
      </c>
    </row>
    <row r="644">
      <c r="A644" s="29" t="n">
        <v>46019</v>
      </c>
      <c r="B644" s="83" t="inlineStr">
        <is>
          <t>입금</t>
        </is>
      </c>
      <c r="C644" s="36" t="n">
        <v>30000</v>
      </c>
      <c r="D644" s="36">
        <f>D643+C644</f>
        <v/>
      </c>
      <c r="E644" s="83" t="inlineStr">
        <is>
          <t>일반입금</t>
        </is>
      </c>
      <c r="F644" s="83" t="inlineStr">
        <is>
          <t>마상현</t>
        </is>
      </c>
      <c r="G644" s="83" t="inlineStr">
        <is>
          <t xml:space="preserve">1월 회비 </t>
        </is>
      </c>
    </row>
    <row r="645">
      <c r="A645" s="29" t="n">
        <v>46022</v>
      </c>
      <c r="B645" s="83" t="inlineStr">
        <is>
          <t>입금</t>
        </is>
      </c>
      <c r="C645" s="36" t="n">
        <v>30000</v>
      </c>
      <c r="D645" s="36">
        <f>D644+C645</f>
        <v/>
      </c>
      <c r="E645" s="83" t="inlineStr">
        <is>
          <t>일반입금</t>
        </is>
      </c>
      <c r="F645" s="83" t="inlineStr">
        <is>
          <t>한재욱</t>
        </is>
      </c>
      <c r="G645" s="83" t="inlineStr">
        <is>
          <t>1월 회비</t>
        </is>
      </c>
    </row>
    <row r="646">
      <c r="A646" s="29" t="n"/>
      <c r="B646" s="14" t="inlineStr">
        <is>
          <t>이월금액</t>
        </is>
      </c>
      <c r="C646" s="27" t="n">
        <v>1317464</v>
      </c>
    </row>
    <row r="647">
      <c r="A647" s="29" t="n"/>
      <c r="B647" s="14" t="inlineStr">
        <is>
          <t>12월 입금</t>
        </is>
      </c>
      <c r="C647" s="27" t="n">
        <v>310262</v>
      </c>
    </row>
    <row r="648">
      <c r="A648" s="29" t="n"/>
      <c r="B648" s="14" t="inlineStr">
        <is>
          <t>12월 출금</t>
        </is>
      </c>
      <c r="C648" s="27" t="n">
        <v>0</v>
      </c>
    </row>
    <row r="649">
      <c r="A649" s="29" t="n">
        <v>46023</v>
      </c>
      <c r="B649" s="83" t="inlineStr">
        <is>
          <t>입금</t>
        </is>
      </c>
      <c r="C649" s="36" t="n">
        <v>60000</v>
      </c>
      <c r="D649" s="36">
        <f>D645+C649</f>
        <v/>
      </c>
      <c r="E649" s="83" t="inlineStr">
        <is>
          <t>일반입금</t>
        </is>
      </c>
      <c r="F649" s="83" t="inlineStr">
        <is>
          <t>민주동헌</t>
        </is>
      </c>
      <c r="G649" s="83" t="inlineStr">
        <is>
          <t xml:space="preserve">1월 회비 </t>
        </is>
      </c>
    </row>
    <row r="650">
      <c r="A650" s="29" t="n">
        <v>46024</v>
      </c>
      <c r="B650" s="83" t="inlineStr">
        <is>
          <t>입금</t>
        </is>
      </c>
      <c r="C650" s="36" t="n">
        <v>30000</v>
      </c>
      <c r="D650" s="36">
        <f>D649+C650</f>
        <v/>
      </c>
      <c r="E650" s="83" t="inlineStr">
        <is>
          <t>일반입금</t>
        </is>
      </c>
      <c r="F650" s="83" t="inlineStr">
        <is>
          <t>김우경</t>
        </is>
      </c>
      <c r="G650" s="83" t="inlineStr">
        <is>
          <t xml:space="preserve">1월 회비 </t>
        </is>
      </c>
    </row>
    <row r="651">
      <c r="A651" s="29" t="n">
        <v>46024</v>
      </c>
      <c r="B651" s="83" t="inlineStr">
        <is>
          <t>입금</t>
        </is>
      </c>
      <c r="C651" s="36" t="n">
        <v>10000</v>
      </c>
      <c r="D651" s="36">
        <f>D650+C651</f>
        <v/>
      </c>
      <c r="E651" s="83" t="inlineStr">
        <is>
          <t>일반입금</t>
        </is>
      </c>
      <c r="F651" s="83" t="inlineStr">
        <is>
          <t>원재식</t>
        </is>
      </c>
      <c r="G651" s="83" t="inlineStr">
        <is>
          <t xml:space="preserve">1월 회비 </t>
        </is>
      </c>
    </row>
    <row r="652">
      <c r="A652" s="29" t="n">
        <v>46024</v>
      </c>
      <c r="B652" s="83" t="inlineStr">
        <is>
          <t>입금</t>
        </is>
      </c>
      <c r="C652" s="36" t="n">
        <v>10000</v>
      </c>
      <c r="D652" s="36">
        <f>D651+C652</f>
        <v/>
      </c>
      <c r="E652" s="83" t="inlineStr">
        <is>
          <t>일반입금</t>
        </is>
      </c>
      <c r="F652" s="83" t="inlineStr">
        <is>
          <t>홍순인</t>
        </is>
      </c>
      <c r="G652" s="83" t="inlineStr">
        <is>
          <t xml:space="preserve">1월 회비 </t>
        </is>
      </c>
    </row>
    <row r="653">
      <c r="A653" s="29" t="n">
        <v>46024</v>
      </c>
      <c r="B653" s="83" t="inlineStr">
        <is>
          <t>입금</t>
        </is>
      </c>
      <c r="C653" s="36" t="n">
        <v>30000</v>
      </c>
      <c r="D653" s="36">
        <f>D652+C653</f>
        <v/>
      </c>
      <c r="E653" s="83" t="inlineStr">
        <is>
          <t>일반입금</t>
        </is>
      </c>
      <c r="F653" s="83" t="inlineStr">
        <is>
          <t>박지원</t>
        </is>
      </c>
      <c r="G653" s="83" t="inlineStr">
        <is>
          <t xml:space="preserve">1월 회비 </t>
        </is>
      </c>
    </row>
    <row r="654">
      <c r="A654" s="29" t="n">
        <v>46024</v>
      </c>
      <c r="B654" s="83" t="inlineStr">
        <is>
          <t>입금</t>
        </is>
      </c>
      <c r="C654" s="36" t="n">
        <v>30000</v>
      </c>
      <c r="D654" s="36">
        <f>D653+C654</f>
        <v/>
      </c>
      <c r="E654" s="83" t="inlineStr">
        <is>
          <t>일반입금</t>
        </is>
      </c>
      <c r="F654" s="83" t="inlineStr">
        <is>
          <t>조수연</t>
        </is>
      </c>
      <c r="G654" s="83" t="inlineStr">
        <is>
          <t xml:space="preserve">1월 회비 </t>
        </is>
      </c>
    </row>
    <row r="655">
      <c r="A655" s="29" t="n">
        <v>46025</v>
      </c>
      <c r="B655" s="83" t="inlineStr">
        <is>
          <t>입금</t>
        </is>
      </c>
      <c r="C655" s="36" t="n">
        <v>30000</v>
      </c>
      <c r="D655" s="36">
        <f>D654+C655</f>
        <v/>
      </c>
      <c r="E655" s="83" t="inlineStr">
        <is>
          <t>일반입금</t>
        </is>
      </c>
      <c r="F655" s="83" t="inlineStr">
        <is>
          <t>표승철</t>
        </is>
      </c>
      <c r="G655" s="83" t="inlineStr">
        <is>
          <t xml:space="preserve">1월 회비 </t>
        </is>
      </c>
    </row>
    <row r="656">
      <c r="A656" s="29" t="n">
        <v>46025</v>
      </c>
      <c r="B656" s="83" t="inlineStr">
        <is>
          <t>입금</t>
        </is>
      </c>
      <c r="C656" s="36" t="n">
        <v>30000</v>
      </c>
      <c r="D656" s="36">
        <f>D655+C656</f>
        <v/>
      </c>
      <c r="E656" s="83" t="inlineStr">
        <is>
          <t>일반입금</t>
        </is>
      </c>
      <c r="F656" s="83" t="inlineStr">
        <is>
          <t>박원주</t>
        </is>
      </c>
      <c r="G656" s="83" t="inlineStr">
        <is>
          <t xml:space="preserve">1월 회비 </t>
        </is>
      </c>
    </row>
    <row r="657">
      <c r="A657" s="29" t="n">
        <v>46025</v>
      </c>
      <c r="B657" s="83" t="inlineStr">
        <is>
          <t>입금</t>
        </is>
      </c>
      <c r="C657" s="36" t="n">
        <v>30000</v>
      </c>
      <c r="D657" s="36">
        <f>D656+C657</f>
        <v/>
      </c>
      <c r="E657" s="83" t="inlineStr">
        <is>
          <t>일반입금</t>
        </is>
      </c>
      <c r="F657" s="83" t="inlineStr">
        <is>
          <t>브루노</t>
        </is>
      </c>
      <c r="G657" s="83" t="inlineStr">
        <is>
          <t xml:space="preserve">1월 회비 </t>
        </is>
      </c>
    </row>
    <row r="658">
      <c r="A658" s="29" t="n">
        <v>46027</v>
      </c>
      <c r="B658" s="83" t="inlineStr">
        <is>
          <t>입금</t>
        </is>
      </c>
      <c r="C658" s="36" t="n">
        <v>20000</v>
      </c>
      <c r="D658" s="36">
        <f>D657+C658</f>
        <v/>
      </c>
      <c r="E658" s="83" t="inlineStr">
        <is>
          <t>일반입금</t>
        </is>
      </c>
      <c r="F658" s="83" t="inlineStr">
        <is>
          <t>정희범(이연희범)</t>
        </is>
      </c>
      <c r="G658" s="83" t="inlineStr">
        <is>
          <t xml:space="preserve">1월 회비 </t>
        </is>
      </c>
    </row>
    <row r="659">
      <c r="A659" s="29" t="n">
        <v>46027</v>
      </c>
      <c r="B659" s="83" t="inlineStr">
        <is>
          <t>입금</t>
        </is>
      </c>
      <c r="C659" s="36" t="n">
        <v>30000</v>
      </c>
      <c r="D659" s="36">
        <f>D658+C659</f>
        <v/>
      </c>
      <c r="E659" s="83" t="inlineStr">
        <is>
          <t>일반입금</t>
        </is>
      </c>
      <c r="F659" s="83" t="inlineStr">
        <is>
          <t>장세영</t>
        </is>
      </c>
      <c r="G659" s="83" t="inlineStr">
        <is>
          <t xml:space="preserve">1월 회비 </t>
        </is>
      </c>
    </row>
    <row r="660">
      <c r="A660" s="29" t="n">
        <v>46027</v>
      </c>
      <c r="B660" s="83" t="inlineStr">
        <is>
          <t>입금</t>
        </is>
      </c>
      <c r="C660" s="36" t="n">
        <v>10000</v>
      </c>
      <c r="D660" s="36">
        <f>D659+C660</f>
        <v/>
      </c>
      <c r="E660" s="83" t="inlineStr">
        <is>
          <t>일반입금</t>
        </is>
      </c>
      <c r="F660" s="83" t="inlineStr">
        <is>
          <t>박승한</t>
        </is>
      </c>
      <c r="G660" s="83" t="inlineStr">
        <is>
          <t xml:space="preserve">1월 회비 </t>
        </is>
      </c>
    </row>
    <row r="661">
      <c r="A661" s="29" t="n">
        <v>46027</v>
      </c>
      <c r="B661" s="83" t="inlineStr">
        <is>
          <t>입금</t>
        </is>
      </c>
      <c r="C661" s="36" t="n">
        <v>30000</v>
      </c>
      <c r="D661" s="36">
        <f>D660+C661</f>
        <v/>
      </c>
      <c r="E661" s="83" t="inlineStr">
        <is>
          <t>일반입금</t>
        </is>
      </c>
      <c r="F661" s="83" t="inlineStr">
        <is>
          <t>임한</t>
        </is>
      </c>
      <c r="G661" s="83" t="inlineStr">
        <is>
          <t xml:space="preserve">1월 회비 </t>
        </is>
      </c>
    </row>
    <row r="662">
      <c r="A662" s="29" t="n">
        <v>46027</v>
      </c>
      <c r="B662" s="83" t="inlineStr">
        <is>
          <t>입금</t>
        </is>
      </c>
      <c r="C662" s="36" t="n">
        <v>10000</v>
      </c>
      <c r="D662" s="36">
        <f>D661+C662</f>
        <v/>
      </c>
      <c r="E662" s="83" t="inlineStr">
        <is>
          <t>일반입금</t>
        </is>
      </c>
      <c r="F662" s="83" t="inlineStr">
        <is>
          <t>조은애</t>
        </is>
      </c>
      <c r="G662" s="83" t="inlineStr">
        <is>
          <t xml:space="preserve">1월 회비 </t>
        </is>
      </c>
    </row>
    <row r="663">
      <c r="A663" s="8" t="n">
        <v>46027</v>
      </c>
      <c r="B663" s="9" t="inlineStr">
        <is>
          <t>출금</t>
        </is>
      </c>
      <c r="C663" s="28" t="n">
        <v>-130000</v>
      </c>
      <c r="D663" s="28">
        <f>D662+C663</f>
        <v/>
      </c>
      <c r="E663" s="9" t="inlineStr">
        <is>
          <t>일반이체</t>
        </is>
      </c>
      <c r="F663" s="9" t="inlineStr">
        <is>
          <t>1/7일 구장비</t>
        </is>
      </c>
      <c r="G663" s="9" t="inlineStr">
        <is>
          <t>1/7일 8시 구장</t>
        </is>
      </c>
      <c r="H663" s="76" t="inlineStr">
        <is>
          <t>인원이 많아서 1개 추가로 대여</t>
        </is>
      </c>
    </row>
    <row r="664">
      <c r="A664" s="29" t="n">
        <v>46029</v>
      </c>
      <c r="B664" s="83" t="inlineStr">
        <is>
          <t>입금</t>
        </is>
      </c>
      <c r="C664" s="36" t="n">
        <v>15000</v>
      </c>
      <c r="D664" s="36">
        <f>D663+C664</f>
        <v/>
      </c>
      <c r="E664" s="83" t="inlineStr">
        <is>
          <t>일반입금</t>
        </is>
      </c>
      <c r="F664" s="83" t="inlineStr">
        <is>
          <t>박별이(브루노게스트)</t>
        </is>
      </c>
      <c r="G664" s="83" t="inlineStr">
        <is>
          <t>게스트</t>
        </is>
      </c>
      <c r="H664" s="76" t="inlineStr">
        <is>
          <t>1/7 게스트</t>
        </is>
      </c>
    </row>
    <row r="665">
      <c r="A665" s="29" t="n">
        <v>46029</v>
      </c>
      <c r="B665" s="83" t="inlineStr">
        <is>
          <t>입금</t>
        </is>
      </c>
      <c r="C665" s="36" t="n">
        <v>15000</v>
      </c>
      <c r="D665" s="36">
        <f>D664+C665</f>
        <v/>
      </c>
      <c r="E665" s="83" t="inlineStr">
        <is>
          <t>일반입금</t>
        </is>
      </c>
      <c r="F665" s="83" t="inlineStr">
        <is>
          <t>박광우</t>
        </is>
      </c>
      <c r="G665" s="83" t="inlineStr">
        <is>
          <t>게스트</t>
        </is>
      </c>
      <c r="H665" s="76" t="inlineStr">
        <is>
          <t>1/7 게스트</t>
        </is>
      </c>
    </row>
    <row r="666">
      <c r="A666" s="29" t="n">
        <v>46029</v>
      </c>
      <c r="B666" s="83" t="inlineStr">
        <is>
          <t>입금</t>
        </is>
      </c>
      <c r="C666" s="36" t="n">
        <v>15000</v>
      </c>
      <c r="D666" s="36">
        <f>D665+C666</f>
        <v/>
      </c>
      <c r="E666" s="83" t="inlineStr">
        <is>
          <t>일반입금</t>
        </is>
      </c>
      <c r="F666" s="83" t="inlineStr">
        <is>
          <t>이민규(안재영게스트)</t>
        </is>
      </c>
      <c r="G666" s="83" t="inlineStr">
        <is>
          <t>게스트</t>
        </is>
      </c>
      <c r="H666" s="76" t="inlineStr">
        <is>
          <t>1/7 게스트</t>
        </is>
      </c>
    </row>
    <row r="667">
      <c r="A667" s="29" t="n">
        <v>46038</v>
      </c>
      <c r="B667" s="83" t="inlineStr">
        <is>
          <t>입금</t>
        </is>
      </c>
      <c r="C667" s="36" t="n">
        <v>10000</v>
      </c>
      <c r="D667" s="36">
        <f>D666+C667</f>
        <v/>
      </c>
      <c r="E667" s="83" t="inlineStr">
        <is>
          <t>일반입금</t>
        </is>
      </c>
      <c r="F667" s="83" t="inlineStr">
        <is>
          <t>박승한</t>
        </is>
      </c>
      <c r="G667" s="83" t="inlineStr">
        <is>
          <t xml:space="preserve">2월 회비 </t>
        </is>
      </c>
    </row>
    <row r="668">
      <c r="A668" s="29" t="n">
        <v>46039</v>
      </c>
      <c r="B668" s="83" t="inlineStr">
        <is>
          <t>입금</t>
        </is>
      </c>
      <c r="C668" s="36" t="n">
        <v>10000</v>
      </c>
      <c r="D668" s="36">
        <f>D667+C668</f>
        <v/>
      </c>
      <c r="E668" s="83" t="inlineStr">
        <is>
          <t>일반입금</t>
        </is>
      </c>
      <c r="F668" s="83" t="inlineStr">
        <is>
          <t>최승호</t>
        </is>
      </c>
      <c r="G668" s="83" t="inlineStr">
        <is>
          <t xml:space="preserve">2월 회비 </t>
        </is>
      </c>
    </row>
    <row r="669">
      <c r="A669" s="29" t="n">
        <v>46042</v>
      </c>
      <c r="B669" s="83" t="inlineStr">
        <is>
          <t>입금</t>
        </is>
      </c>
      <c r="C669" s="36" t="n">
        <v>15000</v>
      </c>
      <c r="D669" s="36">
        <f>D668+C669</f>
        <v/>
      </c>
      <c r="E669" s="83" t="inlineStr">
        <is>
          <t>일반입금</t>
        </is>
      </c>
      <c r="F669" s="83" t="inlineStr">
        <is>
          <t>최봉문</t>
        </is>
      </c>
      <c r="G669" s="83" t="inlineStr">
        <is>
          <t>게스트</t>
        </is>
      </c>
      <c r="H669" s="76" t="inlineStr">
        <is>
          <t>1/21 게스트</t>
        </is>
      </c>
    </row>
    <row r="670">
      <c r="A670" s="29" t="n">
        <v>46043</v>
      </c>
      <c r="B670" s="83" t="inlineStr">
        <is>
          <t>입금</t>
        </is>
      </c>
      <c r="C670" s="36" t="n">
        <v>15000</v>
      </c>
      <c r="D670" s="36">
        <f>D669+C670</f>
        <v/>
      </c>
      <c r="E670" s="83" t="inlineStr">
        <is>
          <t>일반입금</t>
        </is>
      </c>
      <c r="F670" s="83" t="inlineStr">
        <is>
          <t>박광우</t>
        </is>
      </c>
      <c r="G670" s="83" t="inlineStr">
        <is>
          <t>게스트</t>
        </is>
      </c>
      <c r="H670" s="76" t="inlineStr">
        <is>
          <t>1/21 게스트</t>
        </is>
      </c>
    </row>
    <row r="671">
      <c r="A671" s="29" t="n">
        <v>46046</v>
      </c>
      <c r="B671" s="83" t="inlineStr">
        <is>
          <t>입금</t>
        </is>
      </c>
      <c r="C671" s="36" t="n">
        <v>131</v>
      </c>
      <c r="D671" s="36">
        <f>D670+C671</f>
        <v/>
      </c>
      <c r="E671" s="83" t="inlineStr">
        <is>
          <t>일반입금</t>
        </is>
      </c>
      <c r="F671" s="83" t="inlineStr">
        <is>
          <t>입출금통장이자</t>
        </is>
      </c>
      <c r="G671" s="83" t="inlineStr">
        <is>
          <t>기타</t>
        </is>
      </c>
    </row>
    <row r="672">
      <c r="A672" s="29" t="n">
        <v>46048</v>
      </c>
      <c r="B672" s="83" t="inlineStr">
        <is>
          <t>입금</t>
        </is>
      </c>
      <c r="C672" s="36" t="n">
        <v>10000</v>
      </c>
      <c r="D672" s="36">
        <f>D671+C672</f>
        <v/>
      </c>
      <c r="E672" s="83" t="inlineStr">
        <is>
          <t>일반입금</t>
        </is>
      </c>
      <c r="F672" s="83" t="inlineStr">
        <is>
          <t>원재식</t>
        </is>
      </c>
      <c r="G672" s="83" t="inlineStr">
        <is>
          <t xml:space="preserve">2월 회비 </t>
        </is>
      </c>
    </row>
    <row r="673">
      <c r="A673" s="29" t="n">
        <v>46048</v>
      </c>
      <c r="B673" s="83" t="inlineStr">
        <is>
          <t>입금</t>
        </is>
      </c>
      <c r="C673" s="36" t="n">
        <v>30000</v>
      </c>
      <c r="D673" s="36">
        <f>D672+C673</f>
        <v/>
      </c>
      <c r="E673" s="83" t="inlineStr">
        <is>
          <t>일반입금</t>
        </is>
      </c>
      <c r="F673" s="83" t="inlineStr">
        <is>
          <t>박우성</t>
        </is>
      </c>
      <c r="G673" s="83" t="inlineStr">
        <is>
          <t xml:space="preserve">2월 회비 </t>
        </is>
      </c>
    </row>
    <row r="674">
      <c r="A674" s="29" t="n">
        <v>46048</v>
      </c>
      <c r="B674" s="83" t="inlineStr">
        <is>
          <t>입금</t>
        </is>
      </c>
      <c r="C674" s="36" t="n">
        <v>10000</v>
      </c>
      <c r="D674" s="36">
        <f>D673+C674</f>
        <v/>
      </c>
      <c r="E674" s="83" t="inlineStr">
        <is>
          <t>일반입금</t>
        </is>
      </c>
      <c r="F674" s="83" t="inlineStr">
        <is>
          <t>홍순인</t>
        </is>
      </c>
      <c r="G674" s="83" t="inlineStr">
        <is>
          <t xml:space="preserve">2월 회비 </t>
        </is>
      </c>
    </row>
    <row r="675">
      <c r="A675" s="29" t="n">
        <v>46048</v>
      </c>
      <c r="B675" s="83" t="inlineStr">
        <is>
          <t>입금</t>
        </is>
      </c>
      <c r="C675" s="36" t="n">
        <v>30000</v>
      </c>
      <c r="D675" s="36">
        <f>D674+C675</f>
        <v/>
      </c>
      <c r="E675" s="83" t="inlineStr">
        <is>
          <t>일반입금</t>
        </is>
      </c>
      <c r="F675" s="83" t="inlineStr">
        <is>
          <t>박원주</t>
        </is>
      </c>
      <c r="G675" s="83" t="inlineStr">
        <is>
          <t xml:space="preserve">2월 회비 </t>
        </is>
      </c>
    </row>
    <row r="676">
      <c r="A676" s="29" t="n">
        <v>46048</v>
      </c>
      <c r="B676" s="83" t="inlineStr">
        <is>
          <t>입금</t>
        </is>
      </c>
      <c r="C676" s="36" t="n">
        <v>30000</v>
      </c>
      <c r="D676" s="36">
        <f>D675+C676</f>
        <v/>
      </c>
      <c r="E676" s="83" t="inlineStr">
        <is>
          <t>일반입금</t>
        </is>
      </c>
      <c r="F676" s="83" t="inlineStr">
        <is>
          <t>동헌</t>
        </is>
      </c>
      <c r="G676" s="83" t="inlineStr">
        <is>
          <t xml:space="preserve">2월 회비 </t>
        </is>
      </c>
    </row>
    <row r="677">
      <c r="A677" s="29" t="n">
        <v>46048</v>
      </c>
      <c r="B677" s="83" t="inlineStr">
        <is>
          <t>입금</t>
        </is>
      </c>
      <c r="C677" s="36" t="n">
        <v>30000</v>
      </c>
      <c r="D677" s="36">
        <f>D676+C677</f>
        <v/>
      </c>
      <c r="E677" s="83" t="inlineStr">
        <is>
          <t>일반입금</t>
        </is>
      </c>
      <c r="F677" s="83" t="inlineStr">
        <is>
          <t>이민국</t>
        </is>
      </c>
      <c r="G677" s="83" t="inlineStr">
        <is>
          <t xml:space="preserve">2월 회비 </t>
        </is>
      </c>
    </row>
    <row r="678">
      <c r="A678" s="16" t="n">
        <v>46048</v>
      </c>
      <c r="B678" s="41" t="inlineStr">
        <is>
          <t>입금</t>
        </is>
      </c>
      <c r="C678" s="40" t="n">
        <v>10000</v>
      </c>
      <c r="D678" s="40">
        <f>D677+C678</f>
        <v/>
      </c>
      <c r="E678" s="41" t="inlineStr">
        <is>
          <t>일반입금</t>
        </is>
      </c>
      <c r="F678" s="41" t="inlineStr">
        <is>
          <t>박승한</t>
        </is>
      </c>
      <c r="G678" s="41" t="inlineStr">
        <is>
          <t>1월 회비 중복 납부 상계처리</t>
        </is>
      </c>
    </row>
    <row r="679">
      <c r="A679" s="16" t="n">
        <v>46048</v>
      </c>
      <c r="B679" s="17" t="inlineStr">
        <is>
          <t>출금</t>
        </is>
      </c>
      <c r="C679" s="32" t="n">
        <v>-10000</v>
      </c>
      <c r="D679" s="32">
        <f>D678+C679</f>
        <v/>
      </c>
      <c r="E679" s="17" t="inlineStr">
        <is>
          <t>일반이체</t>
        </is>
      </c>
      <c r="F679" s="41" t="inlineStr">
        <is>
          <t>박승한</t>
        </is>
      </c>
      <c r="G679" s="41" t="inlineStr">
        <is>
          <t>1월 회비 중복 납부 상계처리</t>
        </is>
      </c>
    </row>
    <row r="680">
      <c r="A680" s="29" t="n">
        <v>46048</v>
      </c>
      <c r="B680" s="83" t="inlineStr">
        <is>
          <t>입금</t>
        </is>
      </c>
      <c r="C680" s="36" t="n">
        <v>30000</v>
      </c>
      <c r="D680" s="36">
        <f>D679+C680</f>
        <v/>
      </c>
      <c r="E680" s="83" t="inlineStr">
        <is>
          <t>일반입금</t>
        </is>
      </c>
      <c r="F680" s="83" t="inlineStr">
        <is>
          <t>장세영</t>
        </is>
      </c>
      <c r="G680" s="83" t="inlineStr">
        <is>
          <t xml:space="preserve">2월 회비 </t>
        </is>
      </c>
    </row>
    <row r="681">
      <c r="A681" s="29" t="n">
        <v>46048</v>
      </c>
      <c r="B681" s="83" t="inlineStr">
        <is>
          <t>입금</t>
        </is>
      </c>
      <c r="C681" s="36" t="n">
        <v>30000</v>
      </c>
      <c r="D681" s="36">
        <f>D680+C681</f>
        <v/>
      </c>
      <c r="E681" s="83" t="inlineStr">
        <is>
          <t>일반입금</t>
        </is>
      </c>
      <c r="F681" s="83" t="inlineStr">
        <is>
          <t>표승철</t>
        </is>
      </c>
      <c r="G681" s="83" t="inlineStr">
        <is>
          <t xml:space="preserve">2월 회비 </t>
        </is>
      </c>
    </row>
    <row r="682">
      <c r="A682" s="29" t="n">
        <v>46048</v>
      </c>
      <c r="B682" s="83" t="inlineStr">
        <is>
          <t>입금</t>
        </is>
      </c>
      <c r="C682" s="36" t="n">
        <v>30000</v>
      </c>
      <c r="D682" s="36">
        <f>D681+C682</f>
        <v/>
      </c>
      <c r="E682" s="83" t="inlineStr">
        <is>
          <t>일반입금</t>
        </is>
      </c>
      <c r="F682" s="83" t="inlineStr">
        <is>
          <t>조수연</t>
        </is>
      </c>
      <c r="G682" s="83" t="inlineStr">
        <is>
          <t xml:space="preserve">2월 회비 </t>
        </is>
      </c>
    </row>
    <row r="683">
      <c r="A683" s="29" t="n">
        <v>46048</v>
      </c>
      <c r="B683" s="83" t="inlineStr">
        <is>
          <t>입금</t>
        </is>
      </c>
      <c r="C683" s="36" t="n">
        <v>30000</v>
      </c>
      <c r="D683" s="36">
        <f>D682+C683</f>
        <v/>
      </c>
      <c r="E683" s="83" t="inlineStr">
        <is>
          <t>일반입금</t>
        </is>
      </c>
      <c r="F683" s="83" t="inlineStr">
        <is>
          <t>김두은</t>
        </is>
      </c>
      <c r="G683" s="83" t="inlineStr">
        <is>
          <t xml:space="preserve">2월 회비 </t>
        </is>
      </c>
    </row>
    <row r="684">
      <c r="A684" s="29" t="n">
        <v>46048</v>
      </c>
      <c r="B684" s="83" t="inlineStr">
        <is>
          <t>입금</t>
        </is>
      </c>
      <c r="C684" s="36" t="n">
        <v>30000</v>
      </c>
      <c r="D684" s="36">
        <f>D683+C684</f>
        <v/>
      </c>
      <c r="E684" s="83" t="inlineStr">
        <is>
          <t>일반입금</t>
        </is>
      </c>
      <c r="F684" s="83" t="inlineStr">
        <is>
          <t>안재영</t>
        </is>
      </c>
      <c r="G684" s="83" t="inlineStr">
        <is>
          <t xml:space="preserve">2월 회비 </t>
        </is>
      </c>
    </row>
    <row r="685">
      <c r="A685" s="29" t="n">
        <v>46048</v>
      </c>
      <c r="B685" s="83" t="inlineStr">
        <is>
          <t>입금</t>
        </is>
      </c>
      <c r="C685" s="36" t="n">
        <v>30000</v>
      </c>
      <c r="D685" s="36">
        <f>D684+C685</f>
        <v/>
      </c>
      <c r="E685" s="83" t="inlineStr">
        <is>
          <t>일반입금</t>
        </is>
      </c>
      <c r="F685" s="83" t="inlineStr">
        <is>
          <t>임한</t>
        </is>
      </c>
      <c r="G685" s="83" t="inlineStr">
        <is>
          <t xml:space="preserve">2월 회비 </t>
        </is>
      </c>
    </row>
    <row r="686">
      <c r="A686" s="29" t="n">
        <v>46048</v>
      </c>
      <c r="B686" s="83" t="inlineStr">
        <is>
          <t>입금</t>
        </is>
      </c>
      <c r="C686" s="36" t="n">
        <v>30000</v>
      </c>
      <c r="D686" s="36">
        <f>D685+C686</f>
        <v/>
      </c>
      <c r="E686" s="83" t="inlineStr">
        <is>
          <t>일반입금</t>
        </is>
      </c>
      <c r="F686" s="83" t="inlineStr">
        <is>
          <t>마상현</t>
        </is>
      </c>
      <c r="G686" s="83" t="inlineStr">
        <is>
          <t xml:space="preserve">2월 회비 </t>
        </is>
      </c>
    </row>
    <row r="687">
      <c r="A687" s="29" t="n">
        <v>46049</v>
      </c>
      <c r="B687" s="83" t="inlineStr">
        <is>
          <t>입금</t>
        </is>
      </c>
      <c r="C687" s="36" t="n">
        <v>30000</v>
      </c>
      <c r="D687" s="36">
        <f>D686+C687</f>
        <v/>
      </c>
      <c r="E687" s="83" t="inlineStr">
        <is>
          <t>일반입금</t>
        </is>
      </c>
      <c r="F687" s="83" t="inlineStr">
        <is>
          <t>DA CONCEIC(브루노)</t>
        </is>
      </c>
      <c r="G687" s="83" t="inlineStr">
        <is>
          <t xml:space="preserve">2월 회비 </t>
        </is>
      </c>
    </row>
    <row r="688">
      <c r="A688" s="29" t="n">
        <v>46049</v>
      </c>
      <c r="B688" s="83" t="inlineStr">
        <is>
          <t>입금</t>
        </is>
      </c>
      <c r="C688" s="36" t="n">
        <v>20000</v>
      </c>
      <c r="D688" s="36">
        <f>D687+C688</f>
        <v/>
      </c>
      <c r="E688" s="83" t="inlineStr">
        <is>
          <t>일반입금</t>
        </is>
      </c>
      <c r="F688" s="83" t="inlineStr">
        <is>
          <t>희범이연</t>
        </is>
      </c>
      <c r="G688" s="83" t="inlineStr">
        <is>
          <t xml:space="preserve">2월 회비 </t>
        </is>
      </c>
    </row>
    <row r="689">
      <c r="A689" s="29" t="n">
        <v>46049</v>
      </c>
      <c r="B689" s="83" t="inlineStr">
        <is>
          <t>입금</t>
        </is>
      </c>
      <c r="C689" s="36" t="n">
        <v>30000</v>
      </c>
      <c r="D689" s="36">
        <f>D688+C689</f>
        <v/>
      </c>
      <c r="E689" s="83" t="inlineStr">
        <is>
          <t>일반입금</t>
        </is>
      </c>
      <c r="F689" s="83" t="inlineStr">
        <is>
          <t>한재욱</t>
        </is>
      </c>
      <c r="G689" s="83" t="inlineStr">
        <is>
          <t>2월 회비</t>
        </is>
      </c>
    </row>
    <row r="690">
      <c r="A690" s="29" t="n">
        <v>46049</v>
      </c>
      <c r="B690" s="83" t="inlineStr">
        <is>
          <t>입금</t>
        </is>
      </c>
      <c r="C690" s="36" t="n">
        <v>30000</v>
      </c>
      <c r="D690" s="36">
        <f>D689+C690</f>
        <v/>
      </c>
      <c r="E690" s="83" t="inlineStr">
        <is>
          <t>일반입금</t>
        </is>
      </c>
      <c r="F690" s="83" t="inlineStr">
        <is>
          <t>박지원</t>
        </is>
      </c>
      <c r="G690" s="83" t="inlineStr">
        <is>
          <t xml:space="preserve">2월 회비 </t>
        </is>
      </c>
    </row>
    <row r="691">
      <c r="A691" s="29" t="n">
        <v>46050</v>
      </c>
      <c r="B691" s="83" t="inlineStr">
        <is>
          <t>입금</t>
        </is>
      </c>
      <c r="C691" s="36" t="n">
        <v>15000</v>
      </c>
      <c r="D691" s="36">
        <f>D690+C691</f>
        <v/>
      </c>
      <c r="E691" s="83" t="inlineStr">
        <is>
          <t>일반입금</t>
        </is>
      </c>
      <c r="F691" s="83" t="inlineStr">
        <is>
          <t>박광우</t>
        </is>
      </c>
      <c r="G691" s="83" t="inlineStr">
        <is>
          <t>게스트</t>
        </is>
      </c>
      <c r="H691" s="76" t="inlineStr">
        <is>
          <t>1/28 게스트</t>
        </is>
      </c>
    </row>
    <row r="692">
      <c r="A692" s="29" t="n">
        <v>46050</v>
      </c>
      <c r="B692" s="83" t="inlineStr">
        <is>
          <t>입금</t>
        </is>
      </c>
      <c r="C692" s="36" t="n">
        <v>30000</v>
      </c>
      <c r="D692" s="36">
        <f>D691+C692</f>
        <v/>
      </c>
      <c r="E692" s="83" t="inlineStr">
        <is>
          <t>일반입금</t>
        </is>
      </c>
      <c r="F692" s="83" t="inlineStr">
        <is>
          <t>박광우</t>
        </is>
      </c>
      <c r="G692" s="83" t="inlineStr">
        <is>
          <t xml:space="preserve">2월 회비 </t>
        </is>
      </c>
    </row>
    <row r="693">
      <c r="A693" s="29" t="n">
        <v>46051</v>
      </c>
      <c r="B693" s="83" t="inlineStr">
        <is>
          <t>입금</t>
        </is>
      </c>
      <c r="C693" s="36" t="n">
        <v>30000</v>
      </c>
      <c r="D693" s="36">
        <f>D692+C693</f>
        <v/>
      </c>
      <c r="E693" s="83" t="inlineStr">
        <is>
          <t>일반입금</t>
        </is>
      </c>
      <c r="F693" s="83" t="inlineStr">
        <is>
          <t>이일웅</t>
        </is>
      </c>
      <c r="G693" s="83" t="inlineStr">
        <is>
          <t xml:space="preserve">2월 회비 </t>
        </is>
      </c>
    </row>
    <row r="694">
      <c r="A694" s="29" t="n">
        <v>46052</v>
      </c>
      <c r="B694" s="83" t="inlineStr">
        <is>
          <t>입금</t>
        </is>
      </c>
      <c r="C694" s="36" t="n">
        <v>30000</v>
      </c>
      <c r="D694" s="36">
        <f>D693+C694</f>
        <v/>
      </c>
      <c r="E694" s="83" t="inlineStr">
        <is>
          <t>일반입금</t>
        </is>
      </c>
      <c r="F694" s="83" t="inlineStr">
        <is>
          <t>손다희</t>
        </is>
      </c>
      <c r="G694" s="83" t="inlineStr">
        <is>
          <t xml:space="preserve">2월 회비 </t>
        </is>
      </c>
    </row>
    <row r="695">
      <c r="A695" s="29" t="n"/>
      <c r="B695" s="14" t="inlineStr">
        <is>
          <t>이월금액</t>
        </is>
      </c>
      <c r="C695" s="27" t="n">
        <v>1627726</v>
      </c>
    </row>
    <row r="696">
      <c r="A696" s="29" t="n"/>
      <c r="B696" s="14" t="inlineStr">
        <is>
          <t>1월 입금</t>
        </is>
      </c>
      <c r="C696" s="27" t="n">
        <v>1030131</v>
      </c>
    </row>
    <row r="697">
      <c r="A697" s="29" t="n"/>
      <c r="B697" s="14" t="inlineStr">
        <is>
          <t>1월 출금</t>
        </is>
      </c>
      <c r="C697" s="27" t="n">
        <v>-140000</v>
      </c>
    </row>
    <row r="698">
      <c r="A698" s="8" t="n">
        <v>46057</v>
      </c>
      <c r="B698" s="9" t="inlineStr">
        <is>
          <t>출금</t>
        </is>
      </c>
      <c r="C698" s="28" t="n">
        <v>-320000</v>
      </c>
      <c r="D698" s="28">
        <f>D694+C698</f>
        <v/>
      </c>
      <c r="E698" s="9" t="inlineStr">
        <is>
          <t>일반이체</t>
        </is>
      </c>
      <c r="F698" s="9" t="inlineStr">
        <is>
          <t>3/4, 3/11 구장비</t>
        </is>
      </c>
      <c r="G698" s="9" t="inlineStr">
        <is>
          <t>3월 1/2주차 A구장비</t>
        </is>
      </c>
      <c r="H698" s="76" t="inlineStr">
        <is>
          <t>3월 1/2주차(강서KBS)</t>
        </is>
      </c>
    </row>
    <row r="699">
      <c r="A699" s="29" t="n">
        <v>46057</v>
      </c>
      <c r="B699" s="83" t="inlineStr">
        <is>
          <t>입금</t>
        </is>
      </c>
      <c r="C699" s="36" t="n">
        <v>10000</v>
      </c>
      <c r="D699" s="36">
        <f>D698+C699</f>
        <v/>
      </c>
      <c r="E699" s="83" t="inlineStr">
        <is>
          <t>일반입금</t>
        </is>
      </c>
      <c r="F699" s="83" t="inlineStr">
        <is>
          <t>조은애</t>
        </is>
      </c>
      <c r="G699" s="83" t="inlineStr">
        <is>
          <t xml:space="preserve">2월 회비 </t>
        </is>
      </c>
    </row>
    <row r="700">
      <c r="A700" s="8" t="n">
        <v>46057</v>
      </c>
      <c r="B700" s="9" t="inlineStr">
        <is>
          <t>출금</t>
        </is>
      </c>
      <c r="C700" s="28" t="n">
        <v>-320000</v>
      </c>
      <c r="D700" s="28">
        <f>D699+C700</f>
        <v/>
      </c>
      <c r="E700" s="9" t="inlineStr">
        <is>
          <t>일반이체</t>
        </is>
      </c>
      <c r="F700" s="9" t="inlineStr">
        <is>
          <t>3/4, 3/11 구장비</t>
        </is>
      </c>
      <c r="G700" s="9" t="inlineStr">
        <is>
          <t>3월 1/2주차 B구장비</t>
        </is>
      </c>
      <c r="H700" s="76" t="inlineStr">
        <is>
          <t>3월 1/2주차(강서KBS)</t>
        </is>
      </c>
    </row>
    <row r="701">
      <c r="A701" s="8" t="n">
        <v>46059</v>
      </c>
      <c r="B701" s="9" t="inlineStr">
        <is>
          <t>출금</t>
        </is>
      </c>
      <c r="C701" s="28" t="n">
        <v>-360000</v>
      </c>
      <c r="D701" s="28">
        <f>D700+C701</f>
        <v/>
      </c>
      <c r="E701" s="9" t="inlineStr">
        <is>
          <t>일반이체</t>
        </is>
      </c>
      <c r="F701" s="9" t="inlineStr">
        <is>
          <t>3/4, 3/11 구장비</t>
        </is>
      </c>
      <c r="G701" s="9" t="inlineStr">
        <is>
          <t>2월 구장비</t>
        </is>
      </c>
      <c r="H701" s="76" t="inlineStr">
        <is>
          <t>2월 전체(영등포)</t>
        </is>
      </c>
    </row>
    <row r="702">
      <c r="A702" s="29" t="n">
        <v>46064</v>
      </c>
      <c r="B702" s="83" t="inlineStr">
        <is>
          <t>입금</t>
        </is>
      </c>
      <c r="C702" s="36" t="n">
        <v>15000</v>
      </c>
      <c r="D702" s="36">
        <f>D701+C702</f>
        <v/>
      </c>
      <c r="E702" s="83" t="inlineStr">
        <is>
          <t>일반입금</t>
        </is>
      </c>
      <c r="F702" s="83" t="inlineStr">
        <is>
          <t>이일웅지인</t>
        </is>
      </c>
      <c r="G702" s="83" t="inlineStr">
        <is>
          <t>게스트</t>
        </is>
      </c>
      <c r="H702" s="76" t="inlineStr">
        <is>
          <t>2/11 게스트</t>
        </is>
      </c>
    </row>
    <row r="703">
      <c r="A703" s="29" t="n">
        <v>46072</v>
      </c>
      <c r="B703" s="83" t="inlineStr">
        <is>
          <t>입금</t>
        </is>
      </c>
      <c r="C703" s="36" t="n">
        <v>10000</v>
      </c>
      <c r="D703" s="36">
        <f>D702+C703</f>
        <v/>
      </c>
      <c r="E703" s="83" t="inlineStr">
        <is>
          <t>일반입금</t>
        </is>
      </c>
      <c r="F703" s="83" t="inlineStr">
        <is>
          <t>박승한</t>
        </is>
      </c>
      <c r="G703" s="83" t="inlineStr">
        <is>
          <t>3월 회비</t>
        </is>
      </c>
    </row>
    <row r="704">
      <c r="A704" s="29" t="n">
        <v>46073</v>
      </c>
      <c r="B704" s="83" t="inlineStr">
        <is>
          <t>입금</t>
        </is>
      </c>
      <c r="C704" s="36" t="n">
        <v>10000</v>
      </c>
      <c r="D704" s="36">
        <f>D703+C704</f>
        <v/>
      </c>
      <c r="E704" s="83" t="inlineStr">
        <is>
          <t>일반입금</t>
        </is>
      </c>
      <c r="F704" s="83" t="inlineStr">
        <is>
          <t>원재식</t>
        </is>
      </c>
      <c r="G704" s="83" t="inlineStr">
        <is>
          <t>3월 회비</t>
        </is>
      </c>
    </row>
    <row r="705">
      <c r="A705" s="29" t="n">
        <v>46073</v>
      </c>
      <c r="B705" s="83" t="inlineStr">
        <is>
          <t>입금</t>
        </is>
      </c>
      <c r="C705" s="36" t="n">
        <v>10000</v>
      </c>
      <c r="D705" s="36">
        <f>D704+C705</f>
        <v/>
      </c>
      <c r="E705" s="83" t="inlineStr">
        <is>
          <t>일반입금</t>
        </is>
      </c>
      <c r="F705" s="83" t="inlineStr">
        <is>
          <t>홍순인</t>
        </is>
      </c>
      <c r="G705" s="83" t="inlineStr">
        <is>
          <t>3월 회비</t>
        </is>
      </c>
    </row>
    <row r="706">
      <c r="A706" s="29" t="n">
        <v>46073</v>
      </c>
      <c r="B706" s="83" t="inlineStr">
        <is>
          <t>입금</t>
        </is>
      </c>
      <c r="C706" s="36" t="n">
        <v>10000</v>
      </c>
      <c r="D706" s="36">
        <f>D705+C706</f>
        <v/>
      </c>
      <c r="E706" s="83" t="inlineStr">
        <is>
          <t>일반입금</t>
        </is>
      </c>
      <c r="F706" s="83" t="inlineStr">
        <is>
          <t>최승호</t>
        </is>
      </c>
      <c r="G706" s="83" t="inlineStr">
        <is>
          <t>3월 회비</t>
        </is>
      </c>
    </row>
    <row r="707">
      <c r="A707" s="29" t="n">
        <v>46073</v>
      </c>
      <c r="B707" s="83" t="inlineStr">
        <is>
          <t>입금</t>
        </is>
      </c>
      <c r="C707" s="36" t="n">
        <v>30000</v>
      </c>
      <c r="D707" s="36">
        <f>D706+C707</f>
        <v/>
      </c>
      <c r="E707" s="83" t="inlineStr">
        <is>
          <t>일반입금</t>
        </is>
      </c>
      <c r="F707" s="83" t="inlineStr">
        <is>
          <t>박원주</t>
        </is>
      </c>
      <c r="G707" s="83" t="inlineStr">
        <is>
          <t>3월 회비</t>
        </is>
      </c>
    </row>
    <row r="708">
      <c r="A708" s="29" t="n">
        <v>46073</v>
      </c>
      <c r="B708" s="83" t="inlineStr">
        <is>
          <t>입금</t>
        </is>
      </c>
      <c r="C708" s="36" t="n">
        <v>30000</v>
      </c>
      <c r="D708" s="36">
        <f>D707+C708</f>
        <v/>
      </c>
      <c r="E708" s="83" t="inlineStr">
        <is>
          <t>일반입금</t>
        </is>
      </c>
      <c r="F708" s="83" t="inlineStr">
        <is>
          <t>이민국</t>
        </is>
      </c>
      <c r="G708" s="83" t="inlineStr">
        <is>
          <t>3월 회비</t>
        </is>
      </c>
    </row>
    <row r="709">
      <c r="A709" s="29" t="n">
        <v>46073</v>
      </c>
      <c r="B709" s="83" t="inlineStr">
        <is>
          <t>입금</t>
        </is>
      </c>
      <c r="C709" s="36" t="n">
        <v>30000</v>
      </c>
      <c r="D709" s="36">
        <f>D708+C709</f>
        <v/>
      </c>
      <c r="E709" s="83" t="inlineStr">
        <is>
          <t>일반입금</t>
        </is>
      </c>
      <c r="F709" s="83" t="inlineStr">
        <is>
          <t>박광우</t>
        </is>
      </c>
      <c r="G709" s="83" t="inlineStr">
        <is>
          <t>3월 회비</t>
        </is>
      </c>
    </row>
    <row r="710">
      <c r="A710" s="29" t="n">
        <v>46073</v>
      </c>
      <c r="B710" s="83" t="inlineStr">
        <is>
          <t>입금</t>
        </is>
      </c>
      <c r="C710" s="36" t="n">
        <v>30000</v>
      </c>
      <c r="D710" s="36">
        <f>D709+C710</f>
        <v/>
      </c>
      <c r="E710" s="83" t="inlineStr">
        <is>
          <t>일반입금</t>
        </is>
      </c>
      <c r="F710" s="83" t="inlineStr">
        <is>
          <t>안재영</t>
        </is>
      </c>
      <c r="G710" s="83" t="inlineStr">
        <is>
          <t>3월 회비</t>
        </is>
      </c>
    </row>
    <row r="711">
      <c r="A711" s="29" t="n">
        <v>46073</v>
      </c>
      <c r="B711" s="83" t="inlineStr">
        <is>
          <t>입금</t>
        </is>
      </c>
      <c r="C711" s="36" t="n">
        <v>30000</v>
      </c>
      <c r="D711" s="36">
        <f>D710+C711</f>
        <v/>
      </c>
      <c r="E711" s="83" t="inlineStr">
        <is>
          <t>일반입금</t>
        </is>
      </c>
      <c r="F711" s="83" t="inlineStr">
        <is>
          <t>김두은</t>
        </is>
      </c>
      <c r="G711" s="83" t="inlineStr">
        <is>
          <t>3월 회비</t>
        </is>
      </c>
    </row>
    <row r="712">
      <c r="A712" s="29" t="n">
        <v>46073</v>
      </c>
      <c r="B712" s="83" t="inlineStr">
        <is>
          <t>입금</t>
        </is>
      </c>
      <c r="C712" s="36" t="n">
        <v>10000</v>
      </c>
      <c r="D712" s="36">
        <f>D711+C712</f>
        <v/>
      </c>
      <c r="E712" s="83" t="inlineStr">
        <is>
          <t>일반입금</t>
        </is>
      </c>
      <c r="F712" s="83" t="inlineStr">
        <is>
          <t>조은애</t>
        </is>
      </c>
      <c r="G712" s="83" t="inlineStr">
        <is>
          <t>3월 회비</t>
        </is>
      </c>
    </row>
    <row r="713">
      <c r="A713" s="29" t="n">
        <v>46073</v>
      </c>
      <c r="B713" s="83" t="inlineStr">
        <is>
          <t>입금</t>
        </is>
      </c>
      <c r="C713" s="36" t="n">
        <v>30000</v>
      </c>
      <c r="D713" s="36">
        <f>D712+C713</f>
        <v/>
      </c>
      <c r="E713" s="83" t="inlineStr">
        <is>
          <t>일반입금</t>
        </is>
      </c>
      <c r="F713" s="83" t="inlineStr">
        <is>
          <t>마상현</t>
        </is>
      </c>
      <c r="G713" s="83" t="inlineStr">
        <is>
          <t>3월 회비</t>
        </is>
      </c>
    </row>
    <row r="714">
      <c r="A714" s="29" t="n">
        <v>46073</v>
      </c>
      <c r="B714" s="83" t="inlineStr">
        <is>
          <t>입금</t>
        </is>
      </c>
      <c r="C714" s="36" t="n">
        <v>30000</v>
      </c>
      <c r="D714" s="36">
        <f>D713+C714</f>
        <v/>
      </c>
      <c r="E714" s="83" t="inlineStr">
        <is>
          <t>일반입금</t>
        </is>
      </c>
      <c r="F714" s="83" t="inlineStr">
        <is>
          <t>조수연</t>
        </is>
      </c>
      <c r="G714" s="83" t="inlineStr">
        <is>
          <t>3월 회비</t>
        </is>
      </c>
    </row>
    <row r="715">
      <c r="A715" s="29" t="n">
        <v>46073</v>
      </c>
      <c r="B715" s="83" t="inlineStr">
        <is>
          <t>입금</t>
        </is>
      </c>
      <c r="C715" s="36" t="n">
        <v>30000</v>
      </c>
      <c r="D715" s="36">
        <f>D714+C715</f>
        <v/>
      </c>
      <c r="E715" s="83" t="inlineStr">
        <is>
          <t>일반입금</t>
        </is>
      </c>
      <c r="F715" s="83" t="inlineStr">
        <is>
          <t>정하림</t>
        </is>
      </c>
      <c r="G715" s="83" t="inlineStr">
        <is>
          <t>3월 회비</t>
        </is>
      </c>
    </row>
    <row r="716">
      <c r="A716" s="29" t="n">
        <v>46073</v>
      </c>
      <c r="B716" s="83" t="inlineStr">
        <is>
          <t>입금</t>
        </is>
      </c>
      <c r="C716" s="36" t="n">
        <v>30000</v>
      </c>
      <c r="D716" s="36">
        <f>D715+C716</f>
        <v/>
      </c>
      <c r="E716" s="83" t="inlineStr">
        <is>
          <t>일반입금</t>
        </is>
      </c>
      <c r="F716" s="83" t="inlineStr">
        <is>
          <t>표승철</t>
        </is>
      </c>
      <c r="G716" s="83" t="inlineStr">
        <is>
          <t>3월 회비</t>
        </is>
      </c>
    </row>
    <row r="717">
      <c r="A717" s="29" t="n">
        <v>46073</v>
      </c>
      <c r="B717" s="83" t="inlineStr">
        <is>
          <t>입금</t>
        </is>
      </c>
      <c r="C717" s="36" t="n">
        <v>20000</v>
      </c>
      <c r="D717" s="36">
        <f>D716+C717</f>
        <v/>
      </c>
      <c r="E717" s="83" t="inlineStr">
        <is>
          <t>일반입금</t>
        </is>
      </c>
      <c r="F717" s="83" t="inlineStr">
        <is>
          <t>김이연(이연희범)</t>
        </is>
      </c>
      <c r="G717" s="83" t="inlineStr">
        <is>
          <t>3월 회비</t>
        </is>
      </c>
    </row>
    <row r="718">
      <c r="A718" s="29" t="n">
        <v>46073</v>
      </c>
      <c r="B718" s="83" t="inlineStr">
        <is>
          <t>입금</t>
        </is>
      </c>
      <c r="C718" s="36" t="n">
        <v>30000</v>
      </c>
      <c r="D718" s="36">
        <f>D717+C718</f>
        <v/>
      </c>
      <c r="E718" s="83" t="inlineStr">
        <is>
          <t>일반입금</t>
        </is>
      </c>
      <c r="F718" s="83" t="inlineStr">
        <is>
          <t>박지원</t>
        </is>
      </c>
      <c r="G718" s="83" t="inlineStr">
        <is>
          <t>3월 회비</t>
        </is>
      </c>
    </row>
    <row r="719">
      <c r="A719" s="29" t="n">
        <v>46074</v>
      </c>
      <c r="B719" s="83" t="inlineStr">
        <is>
          <t>입금</t>
        </is>
      </c>
      <c r="C719" s="36" t="n">
        <v>30000</v>
      </c>
      <c r="D719" s="36">
        <f>D718+C719</f>
        <v/>
      </c>
      <c r="E719" s="83" t="inlineStr">
        <is>
          <t>일반입금</t>
        </is>
      </c>
      <c r="F719" s="83" t="inlineStr">
        <is>
          <t>박우성</t>
        </is>
      </c>
      <c r="G719" s="83" t="inlineStr">
        <is>
          <t>3월 회비</t>
        </is>
      </c>
    </row>
    <row r="720">
      <c r="A720" s="29" t="n">
        <v>46076</v>
      </c>
      <c r="B720" s="83" t="inlineStr">
        <is>
          <t>입금</t>
        </is>
      </c>
      <c r="C720" s="36" t="n">
        <v>30000</v>
      </c>
      <c r="D720" s="36">
        <f>D719+C720</f>
        <v/>
      </c>
      <c r="E720" s="83" t="inlineStr">
        <is>
          <t>일반입금</t>
        </is>
      </c>
      <c r="F720" s="83" t="inlineStr">
        <is>
          <t>한재욱</t>
        </is>
      </c>
      <c r="G720" s="83" t="inlineStr">
        <is>
          <t>3월 회비</t>
        </is>
      </c>
    </row>
    <row r="721">
      <c r="A721" s="29" t="n">
        <v>46076</v>
      </c>
      <c r="B721" s="83" t="inlineStr">
        <is>
          <t>입금</t>
        </is>
      </c>
      <c r="C721" s="36" t="n">
        <v>30000</v>
      </c>
      <c r="D721" s="36">
        <f>D720+C721</f>
        <v/>
      </c>
      <c r="E721" s="83" t="inlineStr">
        <is>
          <t>일반입금</t>
        </is>
      </c>
      <c r="F721" s="83" t="inlineStr">
        <is>
          <t>신동헌</t>
        </is>
      </c>
      <c r="G721" s="83" t="inlineStr">
        <is>
          <t>3월 회비</t>
        </is>
      </c>
    </row>
    <row r="722">
      <c r="A722" s="29" t="n">
        <v>46076</v>
      </c>
      <c r="B722" s="83" t="inlineStr">
        <is>
          <t>입금</t>
        </is>
      </c>
      <c r="C722" s="36" t="n">
        <v>30000</v>
      </c>
      <c r="D722" s="36">
        <f>D721+C722</f>
        <v/>
      </c>
      <c r="E722" s="83" t="inlineStr">
        <is>
          <t>일반입금</t>
        </is>
      </c>
      <c r="F722" s="83" t="inlineStr">
        <is>
          <t>도민환</t>
        </is>
      </c>
      <c r="G722" s="83" t="inlineStr">
        <is>
          <t>3월 회비</t>
        </is>
      </c>
    </row>
    <row r="723">
      <c r="A723" s="29" t="n">
        <v>46076</v>
      </c>
      <c r="B723" s="83" t="inlineStr">
        <is>
          <t>입금</t>
        </is>
      </c>
      <c r="C723" s="36" t="n">
        <v>30000</v>
      </c>
      <c r="D723" s="36">
        <f>D722+C723</f>
        <v/>
      </c>
      <c r="E723" s="83" t="inlineStr">
        <is>
          <t>일반입금</t>
        </is>
      </c>
      <c r="F723" s="83" t="inlineStr">
        <is>
          <t>임한</t>
        </is>
      </c>
      <c r="G723" s="83" t="inlineStr">
        <is>
          <t>3월 회비</t>
        </is>
      </c>
    </row>
    <row r="724">
      <c r="A724" s="29" t="n">
        <v>46077</v>
      </c>
      <c r="B724" s="83" t="inlineStr">
        <is>
          <t>입금</t>
        </is>
      </c>
      <c r="C724" s="36" t="n">
        <v>30000</v>
      </c>
      <c r="D724" s="36">
        <f>D723+C724</f>
        <v/>
      </c>
      <c r="E724" s="83" t="inlineStr">
        <is>
          <t>일반입금</t>
        </is>
      </c>
      <c r="F724" s="83" t="inlineStr">
        <is>
          <t>브루노</t>
        </is>
      </c>
      <c r="G724" s="83" t="inlineStr">
        <is>
          <t>3월 회비</t>
        </is>
      </c>
    </row>
    <row r="725">
      <c r="A725" s="29" t="n">
        <v>46077</v>
      </c>
      <c r="B725" s="83" t="inlineStr">
        <is>
          <t>입금</t>
        </is>
      </c>
      <c r="C725" s="36" t="n">
        <v>30000</v>
      </c>
      <c r="D725" s="36">
        <f>D724+C725</f>
        <v/>
      </c>
      <c r="E725" s="83" t="inlineStr">
        <is>
          <t>일반입금</t>
        </is>
      </c>
      <c r="F725" s="83" t="inlineStr">
        <is>
          <t>이일웅</t>
        </is>
      </c>
      <c r="G725" s="83" t="inlineStr">
        <is>
          <t>3월 회비</t>
        </is>
      </c>
    </row>
    <row r="726">
      <c r="A726" s="29" t="n">
        <v>46077</v>
      </c>
      <c r="B726" s="83" t="inlineStr">
        <is>
          <t>입금</t>
        </is>
      </c>
      <c r="C726" s="36" t="n">
        <v>30000</v>
      </c>
      <c r="D726" s="36">
        <f>D725+C726</f>
        <v/>
      </c>
      <c r="E726" s="83" t="inlineStr">
        <is>
          <t>일반입금</t>
        </is>
      </c>
      <c r="F726" s="83" t="inlineStr">
        <is>
          <t>장세영</t>
        </is>
      </c>
      <c r="G726" s="83" t="inlineStr">
        <is>
          <t>3월 회비</t>
        </is>
      </c>
    </row>
    <row r="727">
      <c r="A727" s="29" t="n">
        <v>46078</v>
      </c>
      <c r="B727" s="83" t="inlineStr">
        <is>
          <t>입금</t>
        </is>
      </c>
      <c r="C727" s="36" t="n">
        <v>30000</v>
      </c>
      <c r="D727" s="36">
        <f>D726+C727</f>
        <v/>
      </c>
      <c r="E727" s="83" t="inlineStr">
        <is>
          <t>일반입금</t>
        </is>
      </c>
      <c r="F727" s="83" t="inlineStr">
        <is>
          <t>김우경</t>
        </is>
      </c>
      <c r="G727" s="83" t="inlineStr">
        <is>
          <t>3월 회비</t>
        </is>
      </c>
    </row>
    <row r="728">
      <c r="A728" s="29" t="n">
        <v>46078</v>
      </c>
      <c r="B728" s="83" t="inlineStr">
        <is>
          <t>입금</t>
        </is>
      </c>
      <c r="C728" s="36" t="n">
        <v>30000</v>
      </c>
      <c r="D728" s="36">
        <f>D727+C728</f>
        <v/>
      </c>
      <c r="E728" s="83" t="inlineStr">
        <is>
          <t>일반입금</t>
        </is>
      </c>
      <c r="F728" s="83" t="inlineStr">
        <is>
          <t>손다희</t>
        </is>
      </c>
      <c r="G728" s="83" t="inlineStr">
        <is>
          <t>3월 회비</t>
        </is>
      </c>
    </row>
    <row r="729">
      <c r="A729" s="29" t="n">
        <v>46080</v>
      </c>
      <c r="B729" s="83" t="inlineStr">
        <is>
          <t>입금</t>
        </is>
      </c>
      <c r="C729" s="36" t="n">
        <v>30000</v>
      </c>
      <c r="D729" s="36">
        <f>D728+C729</f>
        <v/>
      </c>
      <c r="E729" s="83" t="inlineStr">
        <is>
          <t>일반입금</t>
        </is>
      </c>
      <c r="F729" s="83" t="inlineStr">
        <is>
          <t>허은혜(신규)</t>
        </is>
      </c>
      <c r="G729" s="83" t="inlineStr">
        <is>
          <t>3월 회비</t>
        </is>
      </c>
    </row>
    <row r="730">
      <c r="A730" s="29" t="n">
        <v>46080</v>
      </c>
      <c r="B730" s="83" t="inlineStr">
        <is>
          <t>입금</t>
        </is>
      </c>
      <c r="C730" s="36" t="n">
        <v>166</v>
      </c>
      <c r="D730" s="36">
        <f>D729+C730</f>
        <v/>
      </c>
      <c r="E730" s="83" t="inlineStr">
        <is>
          <t>일반입금</t>
        </is>
      </c>
      <c r="F730" s="83" t="inlineStr">
        <is>
          <t>입출금통장이자</t>
        </is>
      </c>
      <c r="G730" s="83" t="inlineStr">
        <is>
          <t>기타</t>
        </is>
      </c>
    </row>
    <row r="731">
      <c r="A731" s="29" t="n"/>
      <c r="B731" s="14" t="inlineStr">
        <is>
          <t>이월금액</t>
        </is>
      </c>
      <c r="C731" s="27" t="n">
        <v>2517857</v>
      </c>
    </row>
    <row r="732">
      <c r="A732" s="29" t="n"/>
      <c r="B732" s="14" t="inlineStr">
        <is>
          <t>2월 입금</t>
        </is>
      </c>
      <c r="C732" s="27" t="n">
        <v>725166</v>
      </c>
    </row>
    <row r="733">
      <c r="A733" s="29" t="n"/>
      <c r="B733" s="14" t="inlineStr">
        <is>
          <t>2월 출금</t>
        </is>
      </c>
      <c r="C733" s="27" t="n">
        <v>-1000000</v>
      </c>
    </row>
    <row r="734">
      <c r="A734" s="8" t="n">
        <v>46082</v>
      </c>
      <c r="B734" s="9" t="inlineStr">
        <is>
          <t>출금</t>
        </is>
      </c>
      <c r="C734" s="28" t="n">
        <v>-30000</v>
      </c>
      <c r="D734" s="28">
        <f>D730+C734</f>
        <v/>
      </c>
      <c r="E734" s="9" t="inlineStr">
        <is>
          <t>일반이체</t>
        </is>
      </c>
      <c r="F734" s="9" t="inlineStr">
        <is>
          <t>김두은 3월회비 환불</t>
        </is>
      </c>
      <c r="G734" s="9" t="inlineStr">
        <is>
          <t>3월 회비 환불(휴면전환)</t>
        </is>
      </c>
    </row>
    <row r="735">
      <c r="A735" s="29" t="n">
        <v>46084</v>
      </c>
      <c r="B735" s="83" t="inlineStr">
        <is>
          <t>입금</t>
        </is>
      </c>
      <c r="C735" s="36" t="n">
        <v>15000</v>
      </c>
      <c r="D735" s="36">
        <f>D734+C735</f>
        <v/>
      </c>
      <c r="E735" s="83" t="inlineStr">
        <is>
          <t>일반입금</t>
        </is>
      </c>
      <c r="F735" s="83" t="inlineStr">
        <is>
          <t>심소른</t>
        </is>
      </c>
      <c r="G735" s="83" t="inlineStr">
        <is>
          <t>게스트</t>
        </is>
      </c>
      <c r="H735" s="76" t="inlineStr">
        <is>
          <t>3/4 게스트</t>
        </is>
      </c>
    </row>
    <row r="736">
      <c r="A736" s="29" t="n">
        <v>46084</v>
      </c>
      <c r="B736" s="83" t="inlineStr">
        <is>
          <t>입금</t>
        </is>
      </c>
      <c r="C736" s="36" t="n">
        <v>15000</v>
      </c>
      <c r="D736" s="36">
        <f>D735+C736</f>
        <v/>
      </c>
      <c r="E736" s="83" t="inlineStr">
        <is>
          <t>일반입금</t>
        </is>
      </c>
      <c r="F736" s="83" t="inlineStr">
        <is>
          <t>조지훈</t>
        </is>
      </c>
      <c r="G736" s="83" t="inlineStr">
        <is>
          <t>게스트</t>
        </is>
      </c>
      <c r="H736" s="76" t="inlineStr">
        <is>
          <t>3/4 게스트</t>
        </is>
      </c>
    </row>
    <row r="737">
      <c r="A737" s="29" t="n">
        <v>46084</v>
      </c>
      <c r="B737" s="83" t="inlineStr">
        <is>
          <t>입금</t>
        </is>
      </c>
      <c r="C737" s="36" t="n">
        <v>15000</v>
      </c>
      <c r="D737" s="36">
        <f>D736+C737</f>
        <v/>
      </c>
      <c r="E737" s="83" t="inlineStr">
        <is>
          <t>일반입금</t>
        </is>
      </c>
      <c r="F737" s="83" t="inlineStr">
        <is>
          <t>하지호</t>
        </is>
      </c>
      <c r="G737" s="83" t="inlineStr">
        <is>
          <t>게스트</t>
        </is>
      </c>
      <c r="H737" s="76" t="inlineStr">
        <is>
          <t>3/4 게스트</t>
        </is>
      </c>
    </row>
    <row r="738">
      <c r="A738" s="29" t="n">
        <v>46085</v>
      </c>
      <c r="B738" s="83" t="inlineStr">
        <is>
          <t>입금</t>
        </is>
      </c>
      <c r="C738" s="36" t="n">
        <v>30000</v>
      </c>
      <c r="D738" s="36">
        <f>D737+C738</f>
        <v/>
      </c>
      <c r="E738" s="83" t="inlineStr">
        <is>
          <t>일반입금</t>
        </is>
      </c>
      <c r="F738" s="83" t="inlineStr">
        <is>
          <t>박원주</t>
        </is>
      </c>
      <c r="G738" s="83" t="inlineStr">
        <is>
          <t>4월 회비</t>
        </is>
      </c>
    </row>
    <row r="739">
      <c r="A739" s="29" t="n">
        <v>46086</v>
      </c>
      <c r="B739" s="83" t="inlineStr">
        <is>
          <t>입금</t>
        </is>
      </c>
      <c r="C739" s="36" t="n">
        <v>15000</v>
      </c>
      <c r="D739" s="36">
        <f>D738+C739</f>
        <v/>
      </c>
      <c r="E739" s="83" t="inlineStr">
        <is>
          <t>일반입금</t>
        </is>
      </c>
      <c r="F739" s="83" t="inlineStr">
        <is>
          <t>기태</t>
        </is>
      </c>
      <c r="G739" s="83" t="inlineStr">
        <is>
          <t>게스트</t>
        </is>
      </c>
      <c r="H739" s="76" t="inlineStr">
        <is>
          <t>3/4 게스트</t>
        </is>
      </c>
    </row>
    <row r="740">
      <c r="A740" s="8" t="n">
        <v>46087</v>
      </c>
      <c r="B740" s="9" t="inlineStr">
        <is>
          <t>출금</t>
        </is>
      </c>
      <c r="C740" s="28" t="n">
        <v>-198000</v>
      </c>
      <c r="D740" s="28">
        <f>D739+C740</f>
        <v/>
      </c>
      <c r="E740" s="9" t="inlineStr">
        <is>
          <t>일반이체</t>
        </is>
      </c>
      <c r="F740" s="9" t="inlineStr">
        <is>
          <t>3/18 구장비</t>
        </is>
      </c>
      <c r="G740" s="9" t="inlineStr">
        <is>
          <t>3월 3주차 구장비</t>
        </is>
      </c>
      <c r="H740" s="76" t="inlineStr">
        <is>
          <t>3월 3주차(더크라우드)</t>
        </is>
      </c>
    </row>
    <row r="741">
      <c r="A741" s="8" t="n">
        <v>46091</v>
      </c>
      <c r="B741" s="9" t="inlineStr">
        <is>
          <t>출금</t>
        </is>
      </c>
      <c r="C741" s="28" t="n">
        <v>-594000</v>
      </c>
      <c r="D741" s="28">
        <f>D740+C741</f>
        <v/>
      </c>
      <c r="E741" s="9" t="inlineStr">
        <is>
          <t>일반이체</t>
        </is>
      </c>
      <c r="F741" s="9" t="inlineStr">
        <is>
          <t>4/1, 4/15, 4/22 구장비</t>
        </is>
      </c>
      <c r="G741" s="9" t="inlineStr">
        <is>
          <t>4월 1/3/4주차 구장비</t>
        </is>
      </c>
      <c r="H741" s="76" t="inlineStr">
        <is>
          <t>4월 1/3/4주차(더크라우드)</t>
        </is>
      </c>
    </row>
    <row r="742">
      <c r="A742" s="29" t="n">
        <v>46091</v>
      </c>
      <c r="B742" s="83" t="inlineStr">
        <is>
          <t>입금</t>
        </is>
      </c>
      <c r="C742" s="36" t="n">
        <v>15000</v>
      </c>
      <c r="D742" s="36">
        <f>D741+C742</f>
        <v/>
      </c>
      <c r="E742" s="83" t="inlineStr">
        <is>
          <t>일반입금</t>
        </is>
      </c>
      <c r="F742" s="83" t="inlineStr">
        <is>
          <t>심소른</t>
        </is>
      </c>
      <c r="G742" s="83" t="inlineStr">
        <is>
          <t>게스트</t>
        </is>
      </c>
      <c r="H742" s="76" t="inlineStr">
        <is>
          <t>3/11 게스트</t>
        </is>
      </c>
    </row>
    <row r="743">
      <c r="A743" s="29" t="n">
        <v>46091</v>
      </c>
      <c r="B743" s="83" t="inlineStr">
        <is>
          <t>입금</t>
        </is>
      </c>
      <c r="C743" s="36" t="n">
        <v>15000</v>
      </c>
      <c r="D743" s="36">
        <f>D742+C743</f>
        <v/>
      </c>
      <c r="E743" s="83" t="inlineStr">
        <is>
          <t>일반입금</t>
        </is>
      </c>
      <c r="F743" s="83" t="inlineStr">
        <is>
          <t>김동규(재영게스트)</t>
        </is>
      </c>
      <c r="G743" s="83" t="inlineStr">
        <is>
          <t>게스트</t>
        </is>
      </c>
      <c r="H743" s="76" t="inlineStr">
        <is>
          <t>3/11 게스트</t>
        </is>
      </c>
    </row>
    <row r="744">
      <c r="A744" s="29" t="n">
        <v>46091</v>
      </c>
      <c r="B744" s="83" t="inlineStr">
        <is>
          <t>입금</t>
        </is>
      </c>
      <c r="C744" s="36" t="n">
        <v>15000</v>
      </c>
      <c r="D744" s="36">
        <f>D743+C744</f>
        <v/>
      </c>
      <c r="E744" s="83" t="inlineStr">
        <is>
          <t>일반입금</t>
        </is>
      </c>
      <c r="F744" s="83" t="inlineStr">
        <is>
          <t>지훈 친구</t>
        </is>
      </c>
      <c r="G744" s="83" t="inlineStr">
        <is>
          <t>게스트</t>
        </is>
      </c>
      <c r="H744" s="76" t="inlineStr">
        <is>
          <t>3/11 게스트</t>
        </is>
      </c>
    </row>
    <row r="745">
      <c r="A745" s="29" t="n">
        <v>46092</v>
      </c>
      <c r="B745" s="83" t="inlineStr">
        <is>
          <t>입금</t>
        </is>
      </c>
      <c r="C745" s="36" t="n">
        <v>15000</v>
      </c>
      <c r="D745" s="36">
        <f>D744+C745</f>
        <v/>
      </c>
      <c r="E745" s="83" t="inlineStr">
        <is>
          <t>일반입금</t>
        </is>
      </c>
      <c r="F745" s="83" t="inlineStr">
        <is>
          <t>조지훈</t>
        </is>
      </c>
      <c r="G745" s="83" t="inlineStr">
        <is>
          <t>게스트</t>
        </is>
      </c>
      <c r="H745" s="76" t="inlineStr">
        <is>
          <t>3/11 게스트</t>
        </is>
      </c>
    </row>
    <row r="746">
      <c r="A746" s="29" t="n">
        <v>46092</v>
      </c>
      <c r="B746" s="83" t="inlineStr">
        <is>
          <t>입금</t>
        </is>
      </c>
      <c r="C746" s="36" t="n">
        <v>15000</v>
      </c>
      <c r="D746" s="36">
        <f>D745+C746</f>
        <v/>
      </c>
      <c r="E746" s="83" t="inlineStr">
        <is>
          <t>일반입금</t>
        </is>
      </c>
      <c r="F746" s="83" t="inlineStr">
        <is>
          <t>균원</t>
        </is>
      </c>
      <c r="G746" s="83" t="inlineStr">
        <is>
          <t>게스트</t>
        </is>
      </c>
      <c r="H746" s="76" t="inlineStr">
        <is>
          <t>3/11 게스트</t>
        </is>
      </c>
    </row>
    <row r="747">
      <c r="A747" s="29" t="n">
        <v>46093</v>
      </c>
      <c r="B747" s="83" t="inlineStr">
        <is>
          <t>입금</t>
        </is>
      </c>
      <c r="C747" s="36" t="n">
        <v>15000</v>
      </c>
      <c r="D747" s="36">
        <f>D746+C747</f>
        <v/>
      </c>
      <c r="E747" s="83" t="inlineStr">
        <is>
          <t>일반입금</t>
        </is>
      </c>
      <c r="F747" s="83" t="inlineStr">
        <is>
          <t>한재욱게스트</t>
        </is>
      </c>
      <c r="G747" s="83" t="inlineStr">
        <is>
          <t>게스트</t>
        </is>
      </c>
      <c r="H747" s="76" t="inlineStr">
        <is>
          <t>3/11 게스트</t>
        </is>
      </c>
    </row>
    <row r="748">
      <c r="A748" s="29" t="n">
        <v>46097</v>
      </c>
      <c r="B748" s="83" t="inlineStr">
        <is>
          <t>입금</t>
        </is>
      </c>
      <c r="C748" s="36" t="n">
        <v>10000</v>
      </c>
      <c r="D748" s="36">
        <f>D747+C748</f>
        <v/>
      </c>
      <c r="E748" s="83" t="inlineStr">
        <is>
          <t>일반입금</t>
        </is>
      </c>
      <c r="F748" s="83" t="inlineStr">
        <is>
          <t>박승한</t>
        </is>
      </c>
      <c r="G748" s="83" t="inlineStr">
        <is>
          <t>4월 회비</t>
        </is>
      </c>
    </row>
    <row r="749">
      <c r="A749" s="29" t="n">
        <v>46097</v>
      </c>
      <c r="B749" s="83" t="inlineStr">
        <is>
          <t>입금</t>
        </is>
      </c>
      <c r="C749" s="36" t="n">
        <v>10000</v>
      </c>
      <c r="D749" s="36">
        <f>D748+C749</f>
        <v/>
      </c>
      <c r="E749" s="83" t="inlineStr">
        <is>
          <t>일반입금</t>
        </is>
      </c>
      <c r="F749" s="83" t="inlineStr">
        <is>
          <t>최승호</t>
        </is>
      </c>
      <c r="G749" s="83" t="inlineStr">
        <is>
          <t>4월 회비</t>
        </is>
      </c>
    </row>
    <row r="750">
      <c r="A750" s="29" t="n">
        <v>46099</v>
      </c>
      <c r="B750" s="83" t="inlineStr">
        <is>
          <t>입금</t>
        </is>
      </c>
      <c r="C750" s="36" t="n">
        <v>30000</v>
      </c>
      <c r="D750" s="36">
        <f>D749+C750</f>
        <v/>
      </c>
      <c r="E750" s="83" t="inlineStr">
        <is>
          <t>일반입금</t>
        </is>
      </c>
      <c r="F750" s="83" t="inlineStr">
        <is>
          <t>조지훈+조지훈친구</t>
        </is>
      </c>
      <c r="G750" s="83" t="inlineStr">
        <is>
          <t>게스트</t>
        </is>
      </c>
      <c r="H750" s="76" t="inlineStr">
        <is>
          <t>3/18 게스트</t>
        </is>
      </c>
    </row>
    <row r="751">
      <c r="A751" s="29" t="n">
        <v>46100</v>
      </c>
      <c r="B751" s="83" t="inlineStr">
        <is>
          <t>입금</t>
        </is>
      </c>
      <c r="C751" s="36" t="n">
        <v>15000</v>
      </c>
      <c r="D751" s="36">
        <f>D750+C751</f>
        <v/>
      </c>
      <c r="E751" s="83" t="inlineStr">
        <is>
          <t>일반입금</t>
        </is>
      </c>
      <c r="F751" s="83" t="inlineStr">
        <is>
          <t>한재욱게스트(희연)</t>
        </is>
      </c>
      <c r="G751" s="83" t="inlineStr">
        <is>
          <t>게스트</t>
        </is>
      </c>
      <c r="H751" s="76" t="inlineStr">
        <is>
          <t>3/18 게스트</t>
        </is>
      </c>
    </row>
    <row r="752">
      <c r="A752" s="8" t="n">
        <v>46102</v>
      </c>
      <c r="B752" s="9" t="inlineStr">
        <is>
          <t>출금</t>
        </is>
      </c>
      <c r="C752" s="28" t="n">
        <v>-213500</v>
      </c>
      <c r="D752" s="28">
        <f>D751+C752</f>
        <v/>
      </c>
      <c r="E752" s="9" t="inlineStr">
        <is>
          <t>일반이체</t>
        </is>
      </c>
      <c r="F752" s="9" t="inlineStr">
        <is>
          <t>4/29 구장비</t>
        </is>
      </c>
      <c r="G752" s="9" t="inlineStr">
        <is>
          <t>4월 5주차 구장비</t>
        </is>
      </c>
      <c r="H752" s="76" t="inlineStr">
        <is>
          <t>4월 5주차</t>
        </is>
      </c>
    </row>
    <row r="753">
      <c r="A753" s="29" t="n">
        <v>46105</v>
      </c>
      <c r="B753" s="83" t="inlineStr">
        <is>
          <t>입금</t>
        </is>
      </c>
      <c r="C753" s="36" t="n">
        <v>15000</v>
      </c>
      <c r="D753" s="36">
        <f>D752+C753</f>
        <v/>
      </c>
      <c r="E753" s="83" t="inlineStr">
        <is>
          <t>일반입금</t>
        </is>
      </c>
      <c r="F753" s="83" t="inlineStr">
        <is>
          <t>김동규</t>
        </is>
      </c>
      <c r="G753" s="83" t="inlineStr">
        <is>
          <t>게스트</t>
        </is>
      </c>
      <c r="H753" s="76" t="inlineStr">
        <is>
          <t>3/25 게스트</t>
        </is>
      </c>
    </row>
    <row r="754">
      <c r="A754" s="29" t="n">
        <v>46105</v>
      </c>
      <c r="B754" s="83" t="inlineStr">
        <is>
          <t>입금</t>
        </is>
      </c>
      <c r="C754" s="36" t="n">
        <v>15000</v>
      </c>
      <c r="D754" s="36">
        <f>D753+C754</f>
        <v/>
      </c>
      <c r="E754" s="83" t="inlineStr">
        <is>
          <t>일반입금</t>
        </is>
      </c>
      <c r="F754" s="83" t="inlineStr">
        <is>
          <t>김영우</t>
        </is>
      </c>
      <c r="G754" s="83" t="inlineStr">
        <is>
          <t>게스트</t>
        </is>
      </c>
      <c r="H754" s="76" t="inlineStr">
        <is>
          <t>3/25 게스트</t>
        </is>
      </c>
    </row>
    <row r="755">
      <c r="A755" s="29" t="n">
        <v>46105</v>
      </c>
      <c r="B755" s="83" t="inlineStr">
        <is>
          <t>입금</t>
        </is>
      </c>
      <c r="C755" s="36" t="n">
        <v>15000</v>
      </c>
      <c r="D755" s="36">
        <f>D754+C755</f>
        <v/>
      </c>
      <c r="E755" s="83" t="inlineStr">
        <is>
          <t>일반입금</t>
        </is>
      </c>
      <c r="F755" s="83" t="inlineStr">
        <is>
          <t>유태경</t>
        </is>
      </c>
      <c r="G755" s="83" t="inlineStr">
        <is>
          <t>게스트</t>
        </is>
      </c>
      <c r="H755" s="76" t="inlineStr">
        <is>
          <t>3/25 게스트</t>
        </is>
      </c>
    </row>
    <row r="756">
      <c r="A756" s="29" t="n">
        <v>46106</v>
      </c>
      <c r="B756" s="83" t="inlineStr">
        <is>
          <t>입금</t>
        </is>
      </c>
      <c r="C756" s="36" t="n">
        <v>15000</v>
      </c>
      <c r="D756" s="36">
        <f>D755+C756</f>
        <v/>
      </c>
      <c r="E756" s="83" t="inlineStr">
        <is>
          <t>일반입금</t>
        </is>
      </c>
      <c r="F756" s="83" t="inlineStr">
        <is>
          <t>심원준</t>
        </is>
      </c>
      <c r="G756" s="83" t="inlineStr">
        <is>
          <t>게스트</t>
        </is>
      </c>
      <c r="H756" s="76" t="inlineStr">
        <is>
          <t>3/25 게스트</t>
        </is>
      </c>
    </row>
    <row r="757">
      <c r="A757" s="29" t="n">
        <v>46107</v>
      </c>
      <c r="B757" s="83" t="inlineStr">
        <is>
          <t>입금</t>
        </is>
      </c>
      <c r="C757" s="36" t="n">
        <v>30000</v>
      </c>
      <c r="D757" s="36">
        <f>D756+C757</f>
        <v/>
      </c>
      <c r="E757" s="83" t="inlineStr">
        <is>
          <t>일반입금</t>
        </is>
      </c>
      <c r="F757" s="83" t="inlineStr">
        <is>
          <t>박우성</t>
        </is>
      </c>
      <c r="G757" s="83" t="inlineStr">
        <is>
          <t>4월 회비</t>
        </is>
      </c>
    </row>
    <row r="758">
      <c r="A758" s="29" t="n">
        <v>46107</v>
      </c>
      <c r="B758" s="83" t="inlineStr">
        <is>
          <t>입금</t>
        </is>
      </c>
      <c r="C758" s="36" t="n">
        <v>30000</v>
      </c>
      <c r="D758" s="36">
        <f>D757+C758</f>
        <v/>
      </c>
      <c r="E758" s="83" t="inlineStr">
        <is>
          <t>일반입금</t>
        </is>
      </c>
      <c r="F758" s="83" t="inlineStr">
        <is>
          <t>박광우</t>
        </is>
      </c>
      <c r="G758" s="83" t="inlineStr">
        <is>
          <t>4월 회비</t>
        </is>
      </c>
    </row>
    <row r="759">
      <c r="A759" s="29" t="n">
        <v>46107</v>
      </c>
      <c r="B759" s="83" t="inlineStr">
        <is>
          <t>입금</t>
        </is>
      </c>
      <c r="C759" s="36" t="n">
        <v>30000</v>
      </c>
      <c r="D759" s="36">
        <f>D758+C759</f>
        <v/>
      </c>
      <c r="E759" s="83" t="inlineStr">
        <is>
          <t>일반입금</t>
        </is>
      </c>
      <c r="F759" s="83" t="inlineStr">
        <is>
          <t>안재영</t>
        </is>
      </c>
      <c r="G759" s="83" t="inlineStr">
        <is>
          <t>4월 회비</t>
        </is>
      </c>
    </row>
    <row r="760">
      <c r="A760" s="29" t="n">
        <v>46107</v>
      </c>
      <c r="B760" s="83" t="inlineStr">
        <is>
          <t>입금</t>
        </is>
      </c>
      <c r="C760" s="36" t="n">
        <v>30000</v>
      </c>
      <c r="D760" s="36">
        <f>D759+C760</f>
        <v/>
      </c>
      <c r="E760" s="83" t="inlineStr">
        <is>
          <t>일반입금</t>
        </is>
      </c>
      <c r="F760" s="83" t="inlineStr">
        <is>
          <t>심소른</t>
        </is>
      </c>
      <c r="G760" s="83" t="inlineStr">
        <is>
          <t>4월 회비</t>
        </is>
      </c>
    </row>
    <row r="761">
      <c r="A761" s="29" t="n">
        <v>46107</v>
      </c>
      <c r="B761" s="83" t="inlineStr">
        <is>
          <t>입금</t>
        </is>
      </c>
      <c r="C761" s="36" t="n">
        <v>30000</v>
      </c>
      <c r="D761" s="36">
        <f>D760+C761</f>
        <v/>
      </c>
      <c r="E761" s="83" t="inlineStr">
        <is>
          <t>일반입금</t>
        </is>
      </c>
      <c r="F761" s="83" t="inlineStr">
        <is>
          <t>김균원</t>
        </is>
      </c>
      <c r="G761" s="83" t="inlineStr">
        <is>
          <t>4월 회비</t>
        </is>
      </c>
    </row>
    <row r="762">
      <c r="A762" s="29" t="n">
        <v>46107</v>
      </c>
      <c r="B762" s="83" t="inlineStr">
        <is>
          <t>입금</t>
        </is>
      </c>
      <c r="C762" s="36" t="n">
        <v>10000</v>
      </c>
      <c r="D762" s="36">
        <f>D761+C762</f>
        <v/>
      </c>
      <c r="E762" s="83" t="inlineStr">
        <is>
          <t>일반입금</t>
        </is>
      </c>
      <c r="F762" s="83" t="inlineStr">
        <is>
          <t>홍순인</t>
        </is>
      </c>
      <c r="G762" s="83" t="inlineStr">
        <is>
          <t>4월 회비</t>
        </is>
      </c>
    </row>
    <row r="763">
      <c r="A763" s="29" t="n">
        <v>46107</v>
      </c>
      <c r="B763" s="83" t="inlineStr">
        <is>
          <t>입금</t>
        </is>
      </c>
      <c r="C763" s="36" t="n">
        <v>30000</v>
      </c>
      <c r="D763" s="36">
        <f>D762+C763</f>
        <v/>
      </c>
      <c r="E763" s="83" t="inlineStr">
        <is>
          <t>일반입금</t>
        </is>
      </c>
      <c r="F763" s="83" t="inlineStr">
        <is>
          <t>이민국</t>
        </is>
      </c>
      <c r="G763" s="83" t="inlineStr">
        <is>
          <t>4월 회비</t>
        </is>
      </c>
    </row>
    <row r="764">
      <c r="A764" s="29" t="n">
        <v>46107</v>
      </c>
      <c r="B764" s="83" t="inlineStr">
        <is>
          <t>입금</t>
        </is>
      </c>
      <c r="C764" s="36" t="n">
        <v>30000</v>
      </c>
      <c r="D764" s="36">
        <f>D763+C764</f>
        <v/>
      </c>
      <c r="E764" s="83" t="inlineStr">
        <is>
          <t>일반입금</t>
        </is>
      </c>
      <c r="F764" s="83" t="inlineStr">
        <is>
          <t>정은용</t>
        </is>
      </c>
      <c r="G764" s="83" t="inlineStr">
        <is>
          <t>4월 회비</t>
        </is>
      </c>
    </row>
    <row r="765">
      <c r="A765" s="29" t="n">
        <v>46107</v>
      </c>
      <c r="B765" s="83" t="inlineStr">
        <is>
          <t>입금</t>
        </is>
      </c>
      <c r="C765" s="36" t="n">
        <v>15000</v>
      </c>
      <c r="D765" s="36">
        <f>D764+C765</f>
        <v/>
      </c>
      <c r="E765" s="83" t="inlineStr">
        <is>
          <t>일반입금</t>
        </is>
      </c>
      <c r="F765" s="83" t="inlineStr">
        <is>
          <t>안재현</t>
        </is>
      </c>
      <c r="G765" s="83" t="inlineStr">
        <is>
          <t>게스트</t>
        </is>
      </c>
      <c r="H765" s="76" t="inlineStr">
        <is>
          <t>3/4 게스트</t>
        </is>
      </c>
    </row>
    <row r="766">
      <c r="A766" s="29" t="n">
        <v>46107</v>
      </c>
      <c r="B766" s="83" t="inlineStr">
        <is>
          <t>입금</t>
        </is>
      </c>
      <c r="C766" s="36" t="n">
        <v>10000</v>
      </c>
      <c r="D766" s="36">
        <f>D765+C766</f>
        <v/>
      </c>
      <c r="E766" s="83" t="inlineStr">
        <is>
          <t>일반입금</t>
        </is>
      </c>
      <c r="F766" s="83" t="inlineStr">
        <is>
          <t>원재식</t>
        </is>
      </c>
      <c r="G766" s="83" t="inlineStr">
        <is>
          <t>4월 회비</t>
        </is>
      </c>
    </row>
    <row r="767">
      <c r="A767" s="29" t="n">
        <v>46107</v>
      </c>
      <c r="B767" s="83" t="inlineStr">
        <is>
          <t>입금</t>
        </is>
      </c>
      <c r="C767" s="36" t="n">
        <v>30000</v>
      </c>
      <c r="D767" s="36">
        <f>D766+C767</f>
        <v/>
      </c>
      <c r="E767" s="83" t="inlineStr">
        <is>
          <t>일반입금</t>
        </is>
      </c>
      <c r="F767" s="83" t="inlineStr">
        <is>
          <t>김우경</t>
        </is>
      </c>
      <c r="G767" s="83" t="inlineStr">
        <is>
          <t>4월 회비</t>
        </is>
      </c>
    </row>
    <row r="768">
      <c r="A768" s="29" t="n">
        <v>46107</v>
      </c>
      <c r="B768" s="83" t="inlineStr">
        <is>
          <t>입금</t>
        </is>
      </c>
      <c r="C768" s="36" t="n">
        <v>30000</v>
      </c>
      <c r="D768" s="36">
        <f>D767+C768</f>
        <v/>
      </c>
      <c r="E768" s="83" t="inlineStr">
        <is>
          <t>일반입금</t>
        </is>
      </c>
      <c r="F768" s="83" t="inlineStr">
        <is>
          <t>한재욱게스트2인</t>
        </is>
      </c>
      <c r="G768" s="83" t="inlineStr">
        <is>
          <t>게스트</t>
        </is>
      </c>
      <c r="H768" s="76" t="inlineStr">
        <is>
          <t>3/25 게스트</t>
        </is>
      </c>
    </row>
    <row r="769">
      <c r="A769" s="29" t="n">
        <v>46107</v>
      </c>
      <c r="B769" s="83" t="inlineStr">
        <is>
          <t>입금</t>
        </is>
      </c>
      <c r="C769" s="36" t="n">
        <v>30000</v>
      </c>
      <c r="D769" s="36">
        <f>D768+C769</f>
        <v/>
      </c>
      <c r="E769" s="83" t="inlineStr">
        <is>
          <t>일반입금</t>
        </is>
      </c>
      <c r="F769" s="83" t="inlineStr">
        <is>
          <t>한재욱</t>
        </is>
      </c>
      <c r="G769" s="83" t="inlineStr">
        <is>
          <t>4월 회비</t>
        </is>
      </c>
    </row>
    <row r="770">
      <c r="A770" s="29" t="n">
        <v>46107</v>
      </c>
      <c r="B770" s="83" t="inlineStr">
        <is>
          <t>입금</t>
        </is>
      </c>
      <c r="C770" s="36" t="n">
        <v>30000</v>
      </c>
      <c r="D770" s="36">
        <f>D769+C770</f>
        <v/>
      </c>
      <c r="E770" s="83" t="inlineStr">
        <is>
          <t>일반입금</t>
        </is>
      </c>
      <c r="F770" s="83" t="inlineStr">
        <is>
          <t>표승철</t>
        </is>
      </c>
      <c r="G770" s="83" t="inlineStr">
        <is>
          <t>4월 회비</t>
        </is>
      </c>
    </row>
    <row r="771">
      <c r="A771" s="29" t="n">
        <v>46107</v>
      </c>
      <c r="B771" s="83" t="inlineStr">
        <is>
          <t>입금</t>
        </is>
      </c>
      <c r="C771" s="36" t="n">
        <v>30000</v>
      </c>
      <c r="D771" s="36">
        <f>D770+C771</f>
        <v/>
      </c>
      <c r="E771" s="83" t="inlineStr">
        <is>
          <t>일반입금</t>
        </is>
      </c>
      <c r="F771" s="83" t="inlineStr">
        <is>
          <t>임한</t>
        </is>
      </c>
      <c r="G771" s="83" t="inlineStr">
        <is>
          <t>4월 회비</t>
        </is>
      </c>
    </row>
    <row r="772">
      <c r="A772" s="29" t="n">
        <v>46107</v>
      </c>
      <c r="B772" s="83" t="inlineStr">
        <is>
          <t>입금</t>
        </is>
      </c>
      <c r="C772" s="36" t="n">
        <v>30000</v>
      </c>
      <c r="D772" s="36">
        <f>D771+C772</f>
        <v/>
      </c>
      <c r="E772" s="83" t="inlineStr">
        <is>
          <t>일반입금</t>
        </is>
      </c>
      <c r="F772" s="83" t="inlineStr">
        <is>
          <t>동헌</t>
        </is>
      </c>
      <c r="G772" s="83" t="inlineStr">
        <is>
          <t>4월 회비</t>
        </is>
      </c>
    </row>
    <row r="773">
      <c r="A773" s="29" t="n">
        <v>46107</v>
      </c>
      <c r="B773" s="83" t="inlineStr">
        <is>
          <t>입금</t>
        </is>
      </c>
      <c r="C773" s="36" t="n">
        <v>30000</v>
      </c>
      <c r="D773" s="36">
        <f>D772+C773</f>
        <v/>
      </c>
      <c r="E773" s="83" t="inlineStr">
        <is>
          <t>일반입금</t>
        </is>
      </c>
      <c r="F773" s="83" t="inlineStr">
        <is>
          <t>조수연</t>
        </is>
      </c>
      <c r="G773" s="83" t="inlineStr">
        <is>
          <t>4월 회비</t>
        </is>
      </c>
    </row>
    <row r="774">
      <c r="A774" s="29" t="n">
        <v>46108</v>
      </c>
      <c r="B774" s="83" t="inlineStr">
        <is>
          <t>입금</t>
        </is>
      </c>
      <c r="C774" s="36" t="n">
        <v>30000</v>
      </c>
      <c r="D774" s="36">
        <f>D773+C774</f>
        <v/>
      </c>
      <c r="E774" s="83" t="inlineStr">
        <is>
          <t>일반입금</t>
        </is>
      </c>
      <c r="F774" s="83" t="inlineStr">
        <is>
          <t>마상현</t>
        </is>
      </c>
      <c r="G774" s="83" t="inlineStr">
        <is>
          <t>4월 회비</t>
        </is>
      </c>
    </row>
    <row r="775">
      <c r="A775" s="29" t="n">
        <v>46108</v>
      </c>
      <c r="B775" s="83" t="inlineStr">
        <is>
          <t>입금</t>
        </is>
      </c>
      <c r="C775" s="36" t="n">
        <v>30000</v>
      </c>
      <c r="D775" s="36">
        <f>D774+C775</f>
        <v/>
      </c>
      <c r="E775" s="83" t="inlineStr">
        <is>
          <t>일반입금</t>
        </is>
      </c>
      <c r="F775" s="83" t="inlineStr">
        <is>
          <t>브루노</t>
        </is>
      </c>
      <c r="G775" s="83" t="inlineStr">
        <is>
          <t>4월 회비</t>
        </is>
      </c>
    </row>
    <row r="776">
      <c r="A776" s="29" t="n">
        <v>46108</v>
      </c>
      <c r="B776" s="83" t="inlineStr">
        <is>
          <t>입금</t>
        </is>
      </c>
      <c r="C776" s="36" t="n">
        <v>30000</v>
      </c>
      <c r="D776" s="36">
        <f>D775+C776</f>
        <v/>
      </c>
      <c r="E776" s="83" t="inlineStr">
        <is>
          <t>일반입금</t>
        </is>
      </c>
      <c r="F776" s="83" t="inlineStr">
        <is>
          <t>정하림</t>
        </is>
      </c>
      <c r="G776" s="83" t="inlineStr">
        <is>
          <t>4월 회비</t>
        </is>
      </c>
    </row>
    <row r="777">
      <c r="A777" s="29" t="n">
        <v>46108</v>
      </c>
      <c r="B777" s="83" t="inlineStr">
        <is>
          <t>입금</t>
        </is>
      </c>
      <c r="C777" s="36" t="n">
        <v>10000</v>
      </c>
      <c r="D777" s="36">
        <f>D776+C777</f>
        <v/>
      </c>
      <c r="E777" s="83" t="inlineStr">
        <is>
          <t>일반입금</t>
        </is>
      </c>
      <c r="F777" s="83" t="inlineStr">
        <is>
          <t>조은애</t>
        </is>
      </c>
      <c r="G777" s="83" t="inlineStr">
        <is>
          <t>4월 회비</t>
        </is>
      </c>
    </row>
    <row r="778">
      <c r="A778" s="29" t="n">
        <v>46109</v>
      </c>
      <c r="B778" s="83" t="inlineStr">
        <is>
          <t>입금</t>
        </is>
      </c>
      <c r="C778" s="36" t="n">
        <v>130</v>
      </c>
      <c r="D778" s="36">
        <f>D777+C778</f>
        <v/>
      </c>
      <c r="E778" s="83" t="inlineStr">
        <is>
          <t>일반입금</t>
        </is>
      </c>
      <c r="F778" s="83" t="inlineStr">
        <is>
          <t>입출금통장이자</t>
        </is>
      </c>
      <c r="G778" s="83" t="inlineStr">
        <is>
          <t>기타</t>
        </is>
      </c>
    </row>
    <row r="779">
      <c r="A779" s="29" t="n">
        <v>46109</v>
      </c>
      <c r="B779" s="83" t="inlineStr">
        <is>
          <t>입금</t>
        </is>
      </c>
      <c r="C779" s="36" t="n">
        <v>30000</v>
      </c>
      <c r="D779" s="36">
        <f>D778+C779</f>
        <v/>
      </c>
      <c r="E779" s="83" t="inlineStr">
        <is>
          <t>일반입금</t>
        </is>
      </c>
      <c r="F779" s="83" t="inlineStr">
        <is>
          <t>김두은</t>
        </is>
      </c>
      <c r="G779" s="83" t="inlineStr">
        <is>
          <t>4월 회비</t>
        </is>
      </c>
    </row>
    <row r="780">
      <c r="A780" s="29" t="n">
        <v>46109</v>
      </c>
      <c r="B780" s="83" t="inlineStr">
        <is>
          <t>입금</t>
        </is>
      </c>
      <c r="C780" s="36" t="n">
        <v>30000</v>
      </c>
      <c r="D780" s="36">
        <f>D779+C780</f>
        <v/>
      </c>
      <c r="E780" s="83" t="inlineStr">
        <is>
          <t>일반입금</t>
        </is>
      </c>
      <c r="F780" s="83" t="inlineStr">
        <is>
          <t>허은혜</t>
        </is>
      </c>
      <c r="G780" s="83" t="inlineStr">
        <is>
          <t>4월 회비</t>
        </is>
      </c>
    </row>
    <row r="781">
      <c r="A781" s="29" t="n">
        <v>46109</v>
      </c>
      <c r="B781" s="83" t="inlineStr">
        <is>
          <t>입금</t>
        </is>
      </c>
      <c r="C781" s="36" t="n">
        <v>30000</v>
      </c>
      <c r="D781" s="36">
        <f>D780+C781</f>
        <v/>
      </c>
      <c r="E781" s="83" t="inlineStr">
        <is>
          <t>일반입금</t>
        </is>
      </c>
      <c r="F781" s="83" t="inlineStr">
        <is>
          <t>장세영</t>
        </is>
      </c>
      <c r="G781" s="83" t="inlineStr">
        <is>
          <t>4월 회비</t>
        </is>
      </c>
    </row>
    <row r="782">
      <c r="A782" s="29" t="n">
        <v>46111</v>
      </c>
      <c r="B782" s="83" t="inlineStr">
        <is>
          <t>입금</t>
        </is>
      </c>
      <c r="C782" s="36" t="n">
        <v>30000</v>
      </c>
      <c r="D782" s="36">
        <f>D781+C782</f>
        <v/>
      </c>
      <c r="E782" s="83" t="inlineStr">
        <is>
          <t>일반입금</t>
        </is>
      </c>
      <c r="F782" s="83" t="inlineStr">
        <is>
          <t>손다희</t>
        </is>
      </c>
      <c r="G782" s="83" t="inlineStr">
        <is>
          <t>4월 회비</t>
        </is>
      </c>
    </row>
    <row r="783">
      <c r="A783" s="29" t="n">
        <v>46111</v>
      </c>
      <c r="B783" s="83" t="inlineStr">
        <is>
          <t>입금</t>
        </is>
      </c>
      <c r="C783" s="36" t="n">
        <v>30000</v>
      </c>
      <c r="D783" s="36">
        <f>D782+C783</f>
        <v/>
      </c>
      <c r="E783" s="83" t="inlineStr">
        <is>
          <t>일반입금</t>
        </is>
      </c>
      <c r="F783" s="83" t="inlineStr">
        <is>
          <t>이일웅</t>
        </is>
      </c>
      <c r="G783" s="83" t="inlineStr">
        <is>
          <t>4월 회비</t>
        </is>
      </c>
    </row>
    <row r="784">
      <c r="A784" s="29" t="n">
        <v>46111</v>
      </c>
      <c r="B784" s="83" t="inlineStr">
        <is>
          <t>입금</t>
        </is>
      </c>
      <c r="C784" s="36" t="n">
        <v>30000</v>
      </c>
      <c r="D784" s="36">
        <f>D783+C784</f>
        <v/>
      </c>
      <c r="E784" s="83" t="inlineStr">
        <is>
          <t>일반입금</t>
        </is>
      </c>
      <c r="F784" s="83" t="inlineStr">
        <is>
          <t>조지훈</t>
        </is>
      </c>
      <c r="G784" s="83" t="inlineStr">
        <is>
          <t>4월 회비</t>
        </is>
      </c>
    </row>
    <row r="785">
      <c r="A785" s="29" t="n">
        <v>46112</v>
      </c>
      <c r="B785" s="83" t="inlineStr">
        <is>
          <t>입금</t>
        </is>
      </c>
      <c r="C785" s="36" t="n">
        <v>15000</v>
      </c>
      <c r="D785" s="36">
        <f>D784+C785</f>
        <v/>
      </c>
      <c r="E785" s="83" t="inlineStr">
        <is>
          <t>일반입금</t>
        </is>
      </c>
      <c r="F785" s="83" t="inlineStr">
        <is>
          <t>이희성</t>
        </is>
      </c>
      <c r="G785" s="83" t="inlineStr">
        <is>
          <t>게스트</t>
        </is>
      </c>
      <c r="H785" s="76" t="inlineStr">
        <is>
          <t>4/1 게스트</t>
        </is>
      </c>
    </row>
    <row r="786">
      <c r="A786" s="29" t="n">
        <v>46112</v>
      </c>
      <c r="B786" s="83" t="inlineStr">
        <is>
          <t>입금</t>
        </is>
      </c>
      <c r="C786" s="36" t="n">
        <v>30000</v>
      </c>
      <c r="D786" s="36">
        <f>D785+C786</f>
        <v/>
      </c>
      <c r="E786" s="83" t="inlineStr">
        <is>
          <t>일반입금</t>
        </is>
      </c>
      <c r="F786" s="83" t="inlineStr">
        <is>
          <t>조수경</t>
        </is>
      </c>
      <c r="G786" s="83" t="inlineStr">
        <is>
          <t>4월 회비</t>
        </is>
      </c>
    </row>
    <row r="787">
      <c r="A787" s="29" t="n">
        <v>46112</v>
      </c>
      <c r="B787" s="83" t="inlineStr">
        <is>
          <t>입금</t>
        </is>
      </c>
      <c r="C787" s="36" t="n">
        <v>20000</v>
      </c>
      <c r="D787" s="36">
        <f>D786+C787</f>
        <v/>
      </c>
      <c r="E787" s="83" t="inlineStr">
        <is>
          <t>일반입금</t>
        </is>
      </c>
      <c r="F787" s="83" t="inlineStr">
        <is>
          <t>희범이연</t>
        </is>
      </c>
      <c r="G787" s="83" t="inlineStr">
        <is>
          <t>4월 회비</t>
        </is>
      </c>
    </row>
    <row r="788">
      <c r="A788" s="29" t="n">
        <v>46112</v>
      </c>
      <c r="B788" s="83" t="inlineStr">
        <is>
          <t>입금</t>
        </is>
      </c>
      <c r="C788" s="36" t="n">
        <v>30000</v>
      </c>
      <c r="D788" s="36">
        <f>D787+C788</f>
        <v/>
      </c>
      <c r="E788" s="83" t="inlineStr">
        <is>
          <t>일반입금</t>
        </is>
      </c>
      <c r="F788" s="83" t="inlineStr">
        <is>
          <t>박지원</t>
        </is>
      </c>
      <c r="G788" s="83" t="inlineStr">
        <is>
          <t>4월 회비</t>
        </is>
      </c>
    </row>
    <row r="789">
      <c r="A789" s="29" t="n"/>
      <c r="B789" s="14" t="inlineStr">
        <is>
          <t>이월금액</t>
        </is>
      </c>
      <c r="C789" s="27" t="n">
        <v>2243023</v>
      </c>
    </row>
    <row r="790">
      <c r="A790" s="29" t="n"/>
      <c r="B790" s="14" t="inlineStr">
        <is>
          <t>3월 입금</t>
        </is>
      </c>
      <c r="C790" s="27" t="n">
        <v>1135130</v>
      </c>
    </row>
    <row r="791">
      <c r="A791" s="29" t="n"/>
      <c r="B791" s="14" t="inlineStr">
        <is>
          <t>3월 출금</t>
        </is>
      </c>
      <c r="C791" s="27" t="n">
        <v>-1035500</v>
      </c>
    </row>
    <row r="792">
      <c r="A792" s="29" t="n">
        <v>46113</v>
      </c>
      <c r="B792" s="83" t="inlineStr">
        <is>
          <t>입금</t>
        </is>
      </c>
      <c r="C792" s="36" t="n">
        <v>30000</v>
      </c>
      <c r="D792" s="36">
        <f>D788+C792</f>
        <v/>
      </c>
      <c r="E792" s="83" t="inlineStr">
        <is>
          <t>일반입금</t>
        </is>
      </c>
      <c r="F792" s="83" t="inlineStr">
        <is>
          <t>한승재</t>
        </is>
      </c>
      <c r="G792" s="83" t="inlineStr">
        <is>
          <t>4월 회비</t>
        </is>
      </c>
    </row>
    <row r="793">
      <c r="A793" s="29" t="n">
        <v>46113</v>
      </c>
      <c r="B793" s="83" t="inlineStr">
        <is>
          <t>입금</t>
        </is>
      </c>
      <c r="C793" s="36" t="n">
        <v>15000</v>
      </c>
      <c r="D793" s="36">
        <f>D792+C793</f>
        <v/>
      </c>
      <c r="E793" s="83" t="inlineStr">
        <is>
          <t>일반입금</t>
        </is>
      </c>
      <c r="F793" s="83" t="inlineStr">
        <is>
          <t>전태익</t>
        </is>
      </c>
      <c r="G793" s="83" t="inlineStr">
        <is>
          <t>게스트</t>
        </is>
      </c>
      <c r="H793" s="76" t="inlineStr">
        <is>
          <t>4/1 게스트</t>
        </is>
      </c>
    </row>
    <row r="794">
      <c r="A794" s="29" t="n">
        <v>46113</v>
      </c>
      <c r="B794" s="83" t="inlineStr">
        <is>
          <t>입금</t>
        </is>
      </c>
      <c r="C794" s="36" t="n">
        <v>15000</v>
      </c>
      <c r="D794" s="36">
        <f>D793+C794</f>
        <v/>
      </c>
      <c r="E794" s="83" t="inlineStr">
        <is>
          <t>일반입금</t>
        </is>
      </c>
      <c r="F794" s="83" t="inlineStr">
        <is>
          <t>신현오</t>
        </is>
      </c>
      <c r="G794" s="83" t="inlineStr">
        <is>
          <t>게스트</t>
        </is>
      </c>
      <c r="H794" s="76" t="inlineStr">
        <is>
          <t>4/1 게스트</t>
        </is>
      </c>
    </row>
    <row r="795">
      <c r="A795" s="8" t="n">
        <v>46113</v>
      </c>
      <c r="B795" s="9" t="inlineStr">
        <is>
          <t>출금</t>
        </is>
      </c>
      <c r="C795" s="28" t="n">
        <v>-594000</v>
      </c>
      <c r="D795" s="28">
        <f>D794+C795</f>
        <v/>
      </c>
      <c r="E795" s="9" t="inlineStr">
        <is>
          <t>일반이체</t>
        </is>
      </c>
      <c r="F795" s="9" t="inlineStr">
        <is>
          <t>5월 구장비</t>
        </is>
      </c>
      <c r="G795" s="9" t="inlineStr">
        <is>
          <t>5월 1/2/3주차</t>
        </is>
      </c>
    </row>
    <row r="796">
      <c r="A796" s="8" t="n">
        <v>46119</v>
      </c>
      <c r="B796" s="9" t="inlineStr">
        <is>
          <t>출금</t>
        </is>
      </c>
      <c r="C796" s="28" t="n">
        <v>-118000</v>
      </c>
      <c r="D796" s="28">
        <f>D795+C796</f>
        <v/>
      </c>
      <c r="E796" s="9" t="inlineStr">
        <is>
          <t>일반이체</t>
        </is>
      </c>
      <c r="F796" s="9" t="inlineStr">
        <is>
          <t>5월 구장비</t>
        </is>
      </c>
      <c r="G796" s="9" t="inlineStr">
        <is>
          <t>5월 4주차</t>
        </is>
      </c>
    </row>
    <row r="797">
      <c r="A797" s="29" t="n">
        <v>46119</v>
      </c>
      <c r="B797" s="83" t="inlineStr">
        <is>
          <t>입금</t>
        </is>
      </c>
      <c r="C797" s="36" t="n">
        <v>30000</v>
      </c>
      <c r="D797" s="36">
        <f>D796+C797</f>
        <v/>
      </c>
      <c r="E797" s="83" t="inlineStr">
        <is>
          <t>일반입금</t>
        </is>
      </c>
      <c r="F797" s="83" t="inlineStr">
        <is>
          <t>한재욱(대우 상원 게스트)</t>
        </is>
      </c>
      <c r="G797" s="83" t="inlineStr">
        <is>
          <t>게스트</t>
        </is>
      </c>
      <c r="H797" s="76" t="inlineStr">
        <is>
          <t>4/8 게스트</t>
        </is>
      </c>
    </row>
    <row r="798">
      <c r="A798" s="29" t="n">
        <v>46119</v>
      </c>
      <c r="B798" s="83" t="inlineStr">
        <is>
          <t>입금</t>
        </is>
      </c>
      <c r="C798" s="36" t="n">
        <v>15000</v>
      </c>
      <c r="D798" s="36">
        <f>D797+C798</f>
        <v/>
      </c>
      <c r="E798" s="83" t="inlineStr">
        <is>
          <t>일반입금</t>
        </is>
      </c>
      <c r="F798" s="83" t="inlineStr">
        <is>
          <t>김우정</t>
        </is>
      </c>
      <c r="G798" s="83" t="inlineStr">
        <is>
          <t>게스트</t>
        </is>
      </c>
      <c r="H798" s="76" t="inlineStr">
        <is>
          <t>4/8 게스트</t>
        </is>
      </c>
    </row>
    <row r="799">
      <c r="A799" s="29" t="n">
        <v>46125</v>
      </c>
      <c r="B799" s="83" t="inlineStr">
        <is>
          <t>입금</t>
        </is>
      </c>
      <c r="C799" s="36" t="n">
        <v>15000</v>
      </c>
      <c r="D799" s="36">
        <f>D798+C799</f>
        <v/>
      </c>
      <c r="E799" s="83" t="inlineStr">
        <is>
          <t>일반입금</t>
        </is>
      </c>
      <c r="F799" s="83" t="inlineStr">
        <is>
          <t>이희성</t>
        </is>
      </c>
      <c r="G799" s="83" t="inlineStr">
        <is>
          <t>게스트</t>
        </is>
      </c>
      <c r="H799" s="76" t="inlineStr">
        <is>
          <t>4/8 게스트</t>
        </is>
      </c>
    </row>
    <row r="800">
      <c r="A800" s="29" t="n">
        <v>46127</v>
      </c>
      <c r="B800" s="83" t="inlineStr">
        <is>
          <t>입금</t>
        </is>
      </c>
      <c r="C800" s="36" t="n">
        <v>15000</v>
      </c>
      <c r="D800" s="36">
        <f>D799+C800</f>
        <v/>
      </c>
      <c r="E800" s="83" t="inlineStr">
        <is>
          <t>일반입금</t>
        </is>
      </c>
      <c r="F800" s="83" t="inlineStr">
        <is>
          <t>김우경(게스트 지명)</t>
        </is>
      </c>
      <c r="G800" s="83" t="inlineStr">
        <is>
          <t>게스트</t>
        </is>
      </c>
      <c r="H800" s="76" t="inlineStr">
        <is>
          <t>4/15 게스트</t>
        </is>
      </c>
    </row>
    <row r="801">
      <c r="A801" s="29" t="n">
        <v>46128</v>
      </c>
      <c r="B801" s="83" t="inlineStr">
        <is>
          <t>입금</t>
        </is>
      </c>
      <c r="C801" s="36" t="n">
        <v>10000</v>
      </c>
      <c r="D801" s="36">
        <f>D800+C801</f>
        <v/>
      </c>
      <c r="E801" s="83" t="inlineStr">
        <is>
          <t>일반입금</t>
        </is>
      </c>
      <c r="F801" s="83" t="inlineStr">
        <is>
          <t>박승한</t>
        </is>
      </c>
      <c r="G801" s="83" t="inlineStr">
        <is>
          <t>5월 회비</t>
        </is>
      </c>
    </row>
    <row r="802">
      <c r="A802" s="29" t="n">
        <v>46128</v>
      </c>
      <c r="B802" s="83" t="inlineStr">
        <is>
          <t>입금</t>
        </is>
      </c>
      <c r="C802" s="36" t="n">
        <v>15000</v>
      </c>
      <c r="D802" s="36">
        <f>D801+C802</f>
        <v/>
      </c>
      <c r="E802" s="83" t="inlineStr">
        <is>
          <t>일반입금</t>
        </is>
      </c>
      <c r="F802" s="83" t="inlineStr">
        <is>
          <t>이희성</t>
        </is>
      </c>
      <c r="G802" s="83" t="inlineStr">
        <is>
          <t>4월 회비(1/2)</t>
        </is>
      </c>
    </row>
    <row r="803">
      <c r="A803" s="29" t="n">
        <v>46129</v>
      </c>
      <c r="B803" s="83" t="inlineStr">
        <is>
          <t>입금</t>
        </is>
      </c>
      <c r="C803" s="36" t="n">
        <v>10000</v>
      </c>
      <c r="D803" s="36">
        <f>D802+C803</f>
        <v/>
      </c>
      <c r="E803" s="83" t="inlineStr">
        <is>
          <t>일반입금</t>
        </is>
      </c>
      <c r="F803" s="83" t="inlineStr">
        <is>
          <t>최승호</t>
        </is>
      </c>
      <c r="G803" s="83" t="inlineStr">
        <is>
          <t>5월 회비</t>
        </is>
      </c>
    </row>
    <row r="804">
      <c r="A804" s="29" t="n">
        <v>46129</v>
      </c>
      <c r="B804" s="83" t="inlineStr">
        <is>
          <t>입금</t>
        </is>
      </c>
      <c r="C804" s="36" t="n">
        <v>15000</v>
      </c>
      <c r="D804" s="36">
        <f>D803+C804</f>
        <v/>
      </c>
      <c r="E804" s="83" t="inlineStr">
        <is>
          <t>일반입금</t>
        </is>
      </c>
      <c r="F804" s="83" t="inlineStr">
        <is>
          <t>이희성</t>
        </is>
      </c>
      <c r="G804" s="83" t="inlineStr">
        <is>
          <t>4월 회비(2/2)</t>
        </is>
      </c>
    </row>
    <row r="805">
      <c r="A805" s="29" t="n">
        <v>46132</v>
      </c>
      <c r="B805" s="83" t="inlineStr">
        <is>
          <t>입금</t>
        </is>
      </c>
      <c r="C805" s="36" t="n">
        <v>30000</v>
      </c>
      <c r="D805" s="36">
        <f>D804+C805</f>
        <v/>
      </c>
      <c r="E805" s="83" t="inlineStr">
        <is>
          <t>일반입금</t>
        </is>
      </c>
      <c r="F805" s="83" t="inlineStr">
        <is>
          <t>이일웅</t>
        </is>
      </c>
      <c r="G805" s="83" t="inlineStr">
        <is>
          <t>5월 회비</t>
        </is>
      </c>
    </row>
    <row r="806">
      <c r="A806" s="29" t="n">
        <v>46132</v>
      </c>
      <c r="B806" s="83" t="inlineStr">
        <is>
          <t>입금</t>
        </is>
      </c>
      <c r="C806" s="36" t="n">
        <v>30000</v>
      </c>
      <c r="D806" s="36">
        <f>D805+C806</f>
        <v/>
      </c>
      <c r="E806" s="83" t="inlineStr">
        <is>
          <t>일반입금</t>
        </is>
      </c>
      <c r="F806" s="83" t="inlineStr">
        <is>
          <t>박우성</t>
        </is>
      </c>
      <c r="G806" s="83" t="inlineStr">
        <is>
          <t>6월 회비</t>
        </is>
      </c>
      <c r="H806" s="76" t="inlineStr">
        <is>
          <t>5월회비-&gt;6월회비로 이월(부상휴면)</t>
        </is>
      </c>
    </row>
    <row r="807">
      <c r="A807" s="29" t="n">
        <v>46135</v>
      </c>
      <c r="B807" s="83" t="inlineStr">
        <is>
          <t>입금</t>
        </is>
      </c>
      <c r="C807" s="36" t="n">
        <v>30000</v>
      </c>
      <c r="D807" s="36">
        <f>D806+C807</f>
        <v/>
      </c>
      <c r="E807" s="83" t="inlineStr">
        <is>
          <t>일반입금</t>
        </is>
      </c>
      <c r="F807" s="83" t="inlineStr">
        <is>
          <t>김유솔(유솔 재유)</t>
        </is>
      </c>
      <c r="G807" s="83" t="inlineStr">
        <is>
          <t>게스트</t>
        </is>
      </c>
      <c r="H807" s="76" t="inlineStr">
        <is>
          <t>4/22 게스트</t>
        </is>
      </c>
    </row>
    <row r="808">
      <c r="A808" s="29" t="n">
        <v>46136</v>
      </c>
      <c r="B808" s="83" t="inlineStr">
        <is>
          <t>입금</t>
        </is>
      </c>
      <c r="C808" s="36" t="n">
        <v>30000</v>
      </c>
      <c r="D808" s="36">
        <f>D807+C808</f>
        <v/>
      </c>
      <c r="E808" s="83" t="inlineStr">
        <is>
          <t>일반입금</t>
        </is>
      </c>
      <c r="F808" s="83" t="inlineStr">
        <is>
          <t>조지훈</t>
        </is>
      </c>
      <c r="G808" s="83" t="inlineStr">
        <is>
          <t>5월 회비</t>
        </is>
      </c>
    </row>
    <row r="809">
      <c r="A809" s="29" t="n">
        <v>46136</v>
      </c>
      <c r="B809" s="83" t="inlineStr">
        <is>
          <t>입금</t>
        </is>
      </c>
      <c r="C809" s="36" t="n">
        <v>30000</v>
      </c>
      <c r="D809" s="36">
        <f>D808+C809</f>
        <v/>
      </c>
      <c r="E809" s="83" t="inlineStr">
        <is>
          <t>일반입금</t>
        </is>
      </c>
      <c r="F809" s="83" t="inlineStr">
        <is>
          <t>정은용</t>
        </is>
      </c>
      <c r="G809" s="83" t="inlineStr">
        <is>
          <t>5월 회비</t>
        </is>
      </c>
    </row>
    <row r="810">
      <c r="A810" s="29" t="n">
        <v>46136</v>
      </c>
      <c r="B810" s="83" t="inlineStr">
        <is>
          <t>입금</t>
        </is>
      </c>
      <c r="C810" s="36" t="n">
        <v>30000</v>
      </c>
      <c r="D810" s="36">
        <f>D809+C810</f>
        <v/>
      </c>
      <c r="E810" s="83" t="inlineStr">
        <is>
          <t>일반입금</t>
        </is>
      </c>
      <c r="F810" s="83" t="inlineStr">
        <is>
          <t>박원주</t>
        </is>
      </c>
      <c r="G810" s="83" t="inlineStr">
        <is>
          <t>5월 회비</t>
        </is>
      </c>
    </row>
    <row r="811">
      <c r="A811" s="29" t="n">
        <v>46136</v>
      </c>
      <c r="B811" s="83" t="inlineStr">
        <is>
          <t>입금</t>
        </is>
      </c>
      <c r="C811" s="36" t="n">
        <v>30000</v>
      </c>
      <c r="D811" s="36">
        <f>D810+C811</f>
        <v/>
      </c>
      <c r="E811" s="83" t="inlineStr">
        <is>
          <t>일반입금</t>
        </is>
      </c>
      <c r="F811" s="83" t="inlineStr">
        <is>
          <t>김우경</t>
        </is>
      </c>
      <c r="G811" s="83" t="inlineStr">
        <is>
          <t>5월 회비</t>
        </is>
      </c>
    </row>
    <row r="812">
      <c r="A812" s="29" t="n">
        <v>46136</v>
      </c>
      <c r="B812" s="83" t="inlineStr">
        <is>
          <t>입금</t>
        </is>
      </c>
      <c r="C812" s="36" t="n">
        <v>10000</v>
      </c>
      <c r="D812" s="36">
        <f>D811+C812</f>
        <v/>
      </c>
      <c r="E812" s="83" t="inlineStr">
        <is>
          <t>일반입금</t>
        </is>
      </c>
      <c r="F812" s="83" t="inlineStr">
        <is>
          <t>홍순인</t>
        </is>
      </c>
      <c r="G812" s="83" t="inlineStr">
        <is>
          <t>5월 회비</t>
        </is>
      </c>
    </row>
    <row r="813">
      <c r="A813" s="29" t="n">
        <v>46136</v>
      </c>
      <c r="B813" s="83" t="inlineStr">
        <is>
          <t>입금</t>
        </is>
      </c>
      <c r="C813" s="36" t="n">
        <v>30000</v>
      </c>
      <c r="D813" s="36">
        <f>D812+C813</f>
        <v/>
      </c>
      <c r="E813" s="83" t="inlineStr">
        <is>
          <t>일반입금</t>
        </is>
      </c>
      <c r="F813" s="83" t="inlineStr">
        <is>
          <t>안재영</t>
        </is>
      </c>
      <c r="G813" s="83" t="inlineStr">
        <is>
          <t>6월 회비</t>
        </is>
      </c>
      <c r="H813" s="76" t="inlineStr">
        <is>
          <t>5월회비-&gt;6월회비로 이월(휴면)</t>
        </is>
      </c>
    </row>
    <row r="814">
      <c r="A814" s="29" t="n">
        <v>46136</v>
      </c>
      <c r="B814" s="83" t="inlineStr">
        <is>
          <t>입금</t>
        </is>
      </c>
      <c r="C814" s="36" t="n">
        <v>30000</v>
      </c>
      <c r="D814" s="36">
        <f>D813+C814</f>
        <v/>
      </c>
      <c r="E814" s="83" t="inlineStr">
        <is>
          <t>일반입금</t>
        </is>
      </c>
      <c r="F814" s="83" t="inlineStr">
        <is>
          <t>이희성</t>
        </is>
      </c>
      <c r="G814" s="83" t="inlineStr">
        <is>
          <t>5월 회비</t>
        </is>
      </c>
    </row>
    <row r="815">
      <c r="A815" s="29" t="n">
        <v>46136</v>
      </c>
      <c r="B815" s="83" t="inlineStr">
        <is>
          <t>입금</t>
        </is>
      </c>
      <c r="C815" s="36" t="n">
        <v>30000</v>
      </c>
      <c r="D815" s="36">
        <f>D814+C815</f>
        <v/>
      </c>
      <c r="E815" s="83" t="inlineStr">
        <is>
          <t>일반입금</t>
        </is>
      </c>
      <c r="F815" s="83" t="inlineStr">
        <is>
          <t>김두은</t>
        </is>
      </c>
      <c r="G815" s="83" t="inlineStr">
        <is>
          <t>5월 회비</t>
        </is>
      </c>
    </row>
    <row r="816">
      <c r="A816" s="29" t="n">
        <v>46136</v>
      </c>
      <c r="B816" s="83" t="inlineStr">
        <is>
          <t>입금</t>
        </is>
      </c>
      <c r="C816" s="36" t="n">
        <v>30000</v>
      </c>
      <c r="D816" s="36">
        <f>D815+C816</f>
        <v/>
      </c>
      <c r="E816" s="83" t="inlineStr">
        <is>
          <t>일반입금</t>
        </is>
      </c>
      <c r="F816" s="83" t="inlineStr">
        <is>
          <t>정하림</t>
        </is>
      </c>
      <c r="G816" s="83" t="inlineStr">
        <is>
          <t>5월 회비</t>
        </is>
      </c>
    </row>
    <row r="817">
      <c r="A817" s="29" t="n">
        <v>46136</v>
      </c>
      <c r="B817" s="83" t="inlineStr">
        <is>
          <t>입금</t>
        </is>
      </c>
      <c r="C817" s="36" t="n">
        <v>30000</v>
      </c>
      <c r="D817" s="36">
        <f>D816+C817</f>
        <v/>
      </c>
      <c r="E817" s="83" t="inlineStr">
        <is>
          <t>일반입금</t>
        </is>
      </c>
      <c r="F817" s="83" t="inlineStr">
        <is>
          <t>조수연</t>
        </is>
      </c>
      <c r="G817" s="83" t="inlineStr">
        <is>
          <t>5월 회비</t>
        </is>
      </c>
    </row>
    <row r="818">
      <c r="A818" s="29" t="n">
        <v>46136</v>
      </c>
      <c r="B818" s="83" t="inlineStr">
        <is>
          <t>입금</t>
        </is>
      </c>
      <c r="C818" s="36" t="n">
        <v>30000</v>
      </c>
      <c r="D818" s="36">
        <f>D817+C818</f>
        <v/>
      </c>
      <c r="E818" s="83" t="inlineStr">
        <is>
          <t>일반입금</t>
        </is>
      </c>
      <c r="F818" s="83" t="inlineStr">
        <is>
          <t>마상현</t>
        </is>
      </c>
      <c r="G818" s="83" t="inlineStr">
        <is>
          <t>5월 회비</t>
        </is>
      </c>
    </row>
    <row r="819">
      <c r="A819" s="29" t="n">
        <v>46136</v>
      </c>
      <c r="B819" s="83" t="inlineStr">
        <is>
          <t>입금</t>
        </is>
      </c>
      <c r="C819" s="36" t="n">
        <v>30000</v>
      </c>
      <c r="D819" s="36">
        <f>D818+C819</f>
        <v/>
      </c>
      <c r="E819" s="83" t="inlineStr">
        <is>
          <t>일반입금</t>
        </is>
      </c>
      <c r="F819" s="83" t="inlineStr">
        <is>
          <t>한승재</t>
        </is>
      </c>
      <c r="G819" s="83" t="inlineStr">
        <is>
          <t>5월 회비</t>
        </is>
      </c>
    </row>
    <row r="820">
      <c r="A820" s="29" t="n">
        <v>46136</v>
      </c>
      <c r="B820" s="83" t="inlineStr">
        <is>
          <t>입금</t>
        </is>
      </c>
      <c r="C820" s="36" t="n">
        <v>30000</v>
      </c>
      <c r="D820" s="36">
        <f>D819+C820</f>
        <v/>
      </c>
      <c r="E820" s="83" t="inlineStr">
        <is>
          <t>일반입금</t>
        </is>
      </c>
      <c r="F820" s="83" t="inlineStr">
        <is>
          <t>박광우</t>
        </is>
      </c>
      <c r="G820" s="83" t="inlineStr">
        <is>
          <t>5월 회비</t>
        </is>
      </c>
    </row>
    <row r="821">
      <c r="A821" s="29" t="n">
        <v>46136</v>
      </c>
      <c r="B821" s="83" t="inlineStr">
        <is>
          <t>입금</t>
        </is>
      </c>
      <c r="C821" s="36" t="n">
        <v>30000</v>
      </c>
      <c r="D821" s="36">
        <f>D820+C821</f>
        <v/>
      </c>
      <c r="E821" s="83" t="inlineStr">
        <is>
          <t>일반입금</t>
        </is>
      </c>
      <c r="F821" s="83" t="inlineStr">
        <is>
          <t>심소른</t>
        </is>
      </c>
      <c r="G821" s="83" t="inlineStr">
        <is>
          <t>5월 회비</t>
        </is>
      </c>
    </row>
    <row r="822">
      <c r="A822" s="29" t="n">
        <v>46136</v>
      </c>
      <c r="B822" s="83" t="inlineStr">
        <is>
          <t>입금</t>
        </is>
      </c>
      <c r="C822" s="36" t="n">
        <v>30000</v>
      </c>
      <c r="D822" s="36">
        <f>D821+C822</f>
        <v/>
      </c>
      <c r="E822" s="83" t="inlineStr">
        <is>
          <t>일반입금</t>
        </is>
      </c>
      <c r="F822" s="83" t="inlineStr">
        <is>
          <t>허은혜</t>
        </is>
      </c>
      <c r="G822" s="83" t="inlineStr">
        <is>
          <t>5월 회비</t>
        </is>
      </c>
    </row>
    <row r="823">
      <c r="A823" s="29" t="n">
        <v>46137</v>
      </c>
      <c r="B823" s="83" t="inlineStr">
        <is>
          <t>입금</t>
        </is>
      </c>
      <c r="C823" s="36" t="n">
        <v>123</v>
      </c>
      <c r="D823" s="36">
        <f>D822+C823</f>
        <v/>
      </c>
      <c r="E823" s="83" t="inlineStr">
        <is>
          <t>일반입금</t>
        </is>
      </c>
      <c r="F823" s="83" t="inlineStr">
        <is>
          <t>입출금통장이자</t>
        </is>
      </c>
      <c r="G823" s="83" t="inlineStr">
        <is>
          <t>기타</t>
        </is>
      </c>
    </row>
    <row r="824">
      <c r="A824" s="29" t="n">
        <v>46137</v>
      </c>
      <c r="B824" s="83" t="inlineStr">
        <is>
          <t>입금</t>
        </is>
      </c>
      <c r="C824" s="36" t="n">
        <v>30000</v>
      </c>
      <c r="D824" s="36">
        <f>D823+C824</f>
        <v/>
      </c>
      <c r="E824" s="83" t="inlineStr">
        <is>
          <t>일반입금</t>
        </is>
      </c>
      <c r="F824" s="83" t="inlineStr">
        <is>
          <t>표승철</t>
        </is>
      </c>
      <c r="G824" s="83" t="inlineStr">
        <is>
          <t>5월 회비</t>
        </is>
      </c>
    </row>
    <row r="825">
      <c r="A825" s="29" t="n">
        <v>46139</v>
      </c>
      <c r="B825" s="83" t="inlineStr">
        <is>
          <t>입금</t>
        </is>
      </c>
      <c r="C825" s="36" t="n">
        <v>30000</v>
      </c>
      <c r="D825" s="36">
        <f>D824+C825</f>
        <v/>
      </c>
      <c r="E825" s="83" t="inlineStr">
        <is>
          <t>일반입금</t>
        </is>
      </c>
      <c r="F825" s="83" t="inlineStr">
        <is>
          <t>박원주</t>
        </is>
      </c>
      <c r="G825" s="83" t="inlineStr">
        <is>
          <t>6월 회비</t>
        </is>
      </c>
      <c r="H825" s="76" t="inlineStr">
        <is>
          <t>5월회비 중복 납부-&gt;6월회비</t>
        </is>
      </c>
    </row>
    <row r="826">
      <c r="A826" s="29" t="n">
        <v>46139</v>
      </c>
      <c r="B826" s="83" t="inlineStr">
        <is>
          <t>입금</t>
        </is>
      </c>
      <c r="C826" s="36" t="n">
        <v>30000</v>
      </c>
      <c r="D826" s="36">
        <f>D825+C826</f>
        <v/>
      </c>
      <c r="E826" s="83" t="inlineStr">
        <is>
          <t>일반입금</t>
        </is>
      </c>
      <c r="F826" s="83" t="inlineStr">
        <is>
          <t>김균원</t>
        </is>
      </c>
      <c r="G826" s="83" t="inlineStr">
        <is>
          <t>5월 회비</t>
        </is>
      </c>
    </row>
    <row r="827">
      <c r="A827" s="29" t="n">
        <v>46140</v>
      </c>
      <c r="B827" s="83" t="inlineStr">
        <is>
          <t>입금</t>
        </is>
      </c>
      <c r="C827" s="36" t="n">
        <v>15000</v>
      </c>
      <c r="D827" s="36">
        <f>D826+C827</f>
        <v/>
      </c>
      <c r="E827" s="83" t="inlineStr">
        <is>
          <t>일반입금</t>
        </is>
      </c>
      <c r="F827" s="83" t="inlineStr">
        <is>
          <t>강효주</t>
        </is>
      </c>
      <c r="G827" s="83" t="inlineStr">
        <is>
          <t>게스트</t>
        </is>
      </c>
      <c r="H827" s="76" t="inlineStr">
        <is>
          <t>4/29 게스트</t>
        </is>
      </c>
    </row>
    <row r="828">
      <c r="A828" s="29" t="n">
        <v>46140</v>
      </c>
      <c r="B828" s="83" t="inlineStr">
        <is>
          <t>입금</t>
        </is>
      </c>
      <c r="C828" s="36" t="n">
        <v>60000</v>
      </c>
      <c r="D828" s="36">
        <f>D827+C828</f>
        <v/>
      </c>
      <c r="E828" s="83" t="inlineStr">
        <is>
          <t>일반입금</t>
        </is>
      </c>
      <c r="F828" s="83" t="inlineStr">
        <is>
          <t>김유솔(유솔 재유)</t>
        </is>
      </c>
      <c r="G828" s="83" t="inlineStr">
        <is>
          <t>5월 회비</t>
        </is>
      </c>
    </row>
    <row r="829">
      <c r="A829" s="29" t="n">
        <v>46140</v>
      </c>
      <c r="B829" s="83" t="inlineStr">
        <is>
          <t>입금</t>
        </is>
      </c>
      <c r="C829" s="36" t="n">
        <v>30000</v>
      </c>
      <c r="D829" s="36">
        <f>D828+C829</f>
        <v/>
      </c>
      <c r="E829" s="83" t="inlineStr">
        <is>
          <t>일반입금</t>
        </is>
      </c>
      <c r="F829" s="83" t="inlineStr">
        <is>
          <t>손다희</t>
        </is>
      </c>
      <c r="G829" s="83" t="inlineStr">
        <is>
          <t>5월 회비</t>
        </is>
      </c>
    </row>
    <row r="830">
      <c r="A830" s="29" t="n">
        <v>46141</v>
      </c>
      <c r="B830" s="83" t="inlineStr">
        <is>
          <t>입금</t>
        </is>
      </c>
      <c r="C830" s="36" t="n">
        <v>30000</v>
      </c>
      <c r="D830" s="36">
        <f>D829+C830</f>
        <v/>
      </c>
      <c r="E830" s="83" t="inlineStr">
        <is>
          <t>일반입금</t>
        </is>
      </c>
      <c r="F830" s="83" t="inlineStr">
        <is>
          <t>신동헌</t>
        </is>
      </c>
      <c r="G830" s="83" t="inlineStr">
        <is>
          <t>5월 회비</t>
        </is>
      </c>
    </row>
    <row r="831">
      <c r="A831" s="29" t="n">
        <v>46141</v>
      </c>
      <c r="B831" s="83" t="inlineStr">
        <is>
          <t>입금</t>
        </is>
      </c>
      <c r="C831" s="36" t="n">
        <v>15000</v>
      </c>
      <c r="D831" s="36">
        <f>D830+C831</f>
        <v/>
      </c>
      <c r="E831" s="83" t="inlineStr">
        <is>
          <t>일반입금</t>
        </is>
      </c>
      <c r="F831" s="83" t="inlineStr">
        <is>
          <t>박별이</t>
        </is>
      </c>
      <c r="G831" s="83" t="inlineStr">
        <is>
          <t>게스트</t>
        </is>
      </c>
      <c r="H831" s="76" t="inlineStr">
        <is>
          <t>4/29 게스트</t>
        </is>
      </c>
    </row>
    <row r="832">
      <c r="A832" s="29" t="n">
        <v>46142</v>
      </c>
      <c r="B832" s="83" t="inlineStr">
        <is>
          <t>입금</t>
        </is>
      </c>
      <c r="C832" s="36" t="n">
        <v>30000</v>
      </c>
      <c r="D832" s="36">
        <f>D831+C832</f>
        <v/>
      </c>
      <c r="E832" s="83" t="inlineStr">
        <is>
          <t>일반입금</t>
        </is>
      </c>
      <c r="F832" s="83" t="inlineStr">
        <is>
          <t>브루노</t>
        </is>
      </c>
      <c r="G832" s="83" t="inlineStr">
        <is>
          <t>5월 회비</t>
        </is>
      </c>
    </row>
    <row r="833">
      <c r="A833" s="29" t="n">
        <v>46142</v>
      </c>
      <c r="B833" s="83" t="inlineStr">
        <is>
          <t>입금</t>
        </is>
      </c>
      <c r="C833" s="36" t="n">
        <v>30000</v>
      </c>
      <c r="D833" s="36">
        <f>D832+C833</f>
        <v/>
      </c>
      <c r="E833" s="83" t="inlineStr">
        <is>
          <t>일반입금</t>
        </is>
      </c>
      <c r="F833" s="83" t="inlineStr">
        <is>
          <t>조수연</t>
        </is>
      </c>
      <c r="G833" s="83" t="inlineStr">
        <is>
          <t>6월 회비</t>
        </is>
      </c>
      <c r="H833" s="76" t="inlineStr">
        <is>
          <t>5월회비 중복 납부-&gt;6월회비</t>
        </is>
      </c>
    </row>
    <row r="834">
      <c r="A834" s="29" t="n"/>
      <c r="B834" s="14" t="inlineStr">
        <is>
          <t>이월금액</t>
        </is>
      </c>
      <c r="C834" s="27" t="n">
        <v>2342653</v>
      </c>
    </row>
    <row r="835">
      <c r="A835" s="29" t="n"/>
      <c r="B835" s="14" t="inlineStr">
        <is>
          <t>4월 입금</t>
        </is>
      </c>
      <c r="C835" s="27" t="n">
        <v>1005123</v>
      </c>
    </row>
    <row r="836">
      <c r="A836" s="29" t="n"/>
      <c r="B836" s="14" t="inlineStr">
        <is>
          <t>4월 출금</t>
        </is>
      </c>
      <c r="C836" s="27" t="n">
        <v>-712000</v>
      </c>
    </row>
    <row r="837">
      <c r="A837" s="8" t="n">
        <v>46143</v>
      </c>
      <c r="B837" s="9" t="inlineStr">
        <is>
          <t>출금</t>
        </is>
      </c>
      <c r="C837" s="28" t="n">
        <v>-712000</v>
      </c>
      <c r="D837" s="28">
        <f>D833+C837</f>
        <v/>
      </c>
      <c r="E837" s="9" t="inlineStr">
        <is>
          <t>일반이체</t>
        </is>
      </c>
      <c r="F837" s="9" t="inlineStr">
        <is>
          <t>6월 구장비</t>
        </is>
      </c>
      <c r="G837" s="9" t="inlineStr">
        <is>
          <t>6월 전체</t>
        </is>
      </c>
    </row>
    <row r="838">
      <c r="A838" s="29" t="n">
        <v>46147</v>
      </c>
      <c r="B838" s="83" t="inlineStr">
        <is>
          <t>입금</t>
        </is>
      </c>
      <c r="C838" s="36" t="n">
        <v>15000</v>
      </c>
      <c r="D838" s="36">
        <f>D837+C838</f>
        <v/>
      </c>
      <c r="E838" s="83" t="inlineStr">
        <is>
          <t>일반입금</t>
        </is>
      </c>
      <c r="F838" s="83" t="inlineStr">
        <is>
          <t>김우정</t>
        </is>
      </c>
      <c r="G838" s="83" t="inlineStr">
        <is>
          <t>게스트</t>
        </is>
      </c>
      <c r="H838" s="76" t="inlineStr">
        <is>
          <t>5/6 게스트</t>
        </is>
      </c>
    </row>
    <row r="839">
      <c r="A839" s="29" t="n">
        <v>46147</v>
      </c>
      <c r="B839" s="83" t="inlineStr">
        <is>
          <t>입금</t>
        </is>
      </c>
      <c r="C839" s="36" t="n">
        <v>20000</v>
      </c>
      <c r="D839" s="36">
        <f>D838+C839</f>
        <v/>
      </c>
      <c r="E839" s="83" t="inlineStr">
        <is>
          <t>일반입금</t>
        </is>
      </c>
      <c r="F839" s="83" t="inlineStr">
        <is>
          <t>희범 이연</t>
        </is>
      </c>
      <c r="G839" s="83" t="inlineStr">
        <is>
          <t>5월 회비</t>
        </is>
      </c>
    </row>
    <row r="840">
      <c r="A840" s="8" t="n">
        <v>46152</v>
      </c>
      <c r="B840" s="9" t="inlineStr">
        <is>
          <t>출금</t>
        </is>
      </c>
      <c r="C840" s="28" t="n">
        <v>-85000</v>
      </c>
      <c r="D840" s="28">
        <f>D839+C840</f>
        <v/>
      </c>
      <c r="E840" s="9" t="inlineStr">
        <is>
          <t>일반이체</t>
        </is>
      </c>
      <c r="F840" s="9" t="inlineStr">
        <is>
          <t>키퍼 장갑</t>
        </is>
      </c>
      <c r="G840" s="9" t="inlineStr">
        <is>
          <t>소모품비</t>
        </is>
      </c>
    </row>
    <row r="841">
      <c r="A841" s="8" t="n">
        <v>46152</v>
      </c>
      <c r="B841" s="9" t="inlineStr">
        <is>
          <t>출금</t>
        </is>
      </c>
      <c r="C841" s="28" t="n">
        <v>-102000</v>
      </c>
      <c r="D841" s="28">
        <f>D840+C841</f>
        <v/>
      </c>
      <c r="E841" s="9" t="inlineStr">
        <is>
          <t>일반이체</t>
        </is>
      </c>
      <c r="F841" s="9" t="inlineStr">
        <is>
          <t>축구공 2개</t>
        </is>
      </c>
      <c r="G841" s="9" t="inlineStr">
        <is>
          <t>소모품비</t>
        </is>
      </c>
    </row>
    <row r="842">
      <c r="A842" s="29" t="n">
        <v>46153</v>
      </c>
      <c r="B842" s="83" t="inlineStr">
        <is>
          <t>입금</t>
        </is>
      </c>
      <c r="C842" s="36" t="n">
        <v>30000</v>
      </c>
      <c r="D842" s="36">
        <f>D841+C842</f>
        <v/>
      </c>
      <c r="E842" s="83" t="inlineStr">
        <is>
          <t>일반입금</t>
        </is>
      </c>
      <c r="F842" s="83" t="inlineStr">
        <is>
          <t>박지원</t>
        </is>
      </c>
      <c r="G842" s="83" t="inlineStr">
        <is>
          <t>5월 회비</t>
        </is>
      </c>
    </row>
    <row r="843">
      <c r="A843" s="29" t="n">
        <v>46154</v>
      </c>
      <c r="B843" s="83" t="inlineStr">
        <is>
          <t>입금</t>
        </is>
      </c>
      <c r="C843" s="36" t="n">
        <v>10000</v>
      </c>
      <c r="D843" s="36">
        <f>D842+C843</f>
        <v/>
      </c>
      <c r="E843" s="83" t="inlineStr">
        <is>
          <t>일반입금</t>
        </is>
      </c>
      <c r="F843" s="83" t="inlineStr">
        <is>
          <t>원재식</t>
        </is>
      </c>
      <c r="G843" s="83" t="inlineStr">
        <is>
          <t>5월 회비</t>
        </is>
      </c>
    </row>
    <row r="844">
      <c r="A844" s="29" t="n">
        <v>46154</v>
      </c>
      <c r="B844" s="83" t="inlineStr">
        <is>
          <t>입금</t>
        </is>
      </c>
      <c r="C844" s="36" t="n">
        <v>30000</v>
      </c>
      <c r="D844" s="36">
        <f>D843+C844</f>
        <v/>
      </c>
      <c r="E844" s="83" t="inlineStr">
        <is>
          <t>일반입금</t>
        </is>
      </c>
      <c r="F844" s="83" t="inlineStr">
        <is>
          <t>김우경</t>
        </is>
      </c>
      <c r="G844" s="83" t="inlineStr">
        <is>
          <t>6월 회비</t>
        </is>
      </c>
      <c r="H844" s="76" t="inlineStr">
        <is>
          <t>5월회비 중복 납부-&gt;6월회비</t>
        </is>
      </c>
    </row>
    <row r="845">
      <c r="A845" s="29" t="n">
        <v>46154</v>
      </c>
      <c r="B845" s="83" t="inlineStr">
        <is>
          <t>입금</t>
        </is>
      </c>
      <c r="C845" s="36" t="n">
        <v>30000</v>
      </c>
      <c r="D845" s="36">
        <f>D844+C845</f>
        <v/>
      </c>
      <c r="E845" s="83" t="inlineStr">
        <is>
          <t>일반입금</t>
        </is>
      </c>
      <c r="F845" s="83" t="inlineStr">
        <is>
          <t>임한</t>
        </is>
      </c>
      <c r="G845" s="83" t="inlineStr">
        <is>
          <t>5월 회비</t>
        </is>
      </c>
    </row>
    <row r="846">
      <c r="A846" s="29" t="n">
        <v>46154</v>
      </c>
      <c r="B846" s="83" t="inlineStr">
        <is>
          <t>입금</t>
        </is>
      </c>
      <c r="C846" s="36" t="n">
        <v>10000</v>
      </c>
      <c r="D846" s="36">
        <f>D845+C846</f>
        <v/>
      </c>
      <c r="E846" s="83" t="inlineStr">
        <is>
          <t>일반입금</t>
        </is>
      </c>
      <c r="F846" s="83" t="inlineStr">
        <is>
          <t>조은애</t>
        </is>
      </c>
      <c r="G846" s="83" t="inlineStr">
        <is>
          <t>5월 회비</t>
        </is>
      </c>
    </row>
    <row r="847">
      <c r="A847" s="29" t="n">
        <v>46154</v>
      </c>
      <c r="B847" s="83" t="inlineStr">
        <is>
          <t>입금</t>
        </is>
      </c>
      <c r="C847" s="36" t="n">
        <v>30000</v>
      </c>
      <c r="D847" s="36">
        <f>D846+C847</f>
        <v/>
      </c>
      <c r="E847" s="83" t="inlineStr">
        <is>
          <t>일반입금</t>
        </is>
      </c>
      <c r="F847" s="83" t="inlineStr">
        <is>
          <t>한재욱</t>
        </is>
      </c>
      <c r="G847" s="83" t="inlineStr">
        <is>
          <t>5월 회비</t>
        </is>
      </c>
    </row>
    <row r="848">
      <c r="A848" s="29" t="n">
        <v>46154</v>
      </c>
      <c r="B848" s="83" t="inlineStr">
        <is>
          <t>입금</t>
        </is>
      </c>
      <c r="C848" s="36" t="n">
        <v>30000</v>
      </c>
      <c r="D848" s="36">
        <f>D847+C848</f>
        <v/>
      </c>
      <c r="E848" s="83" t="inlineStr">
        <is>
          <t>일반입금</t>
        </is>
      </c>
      <c r="F848" s="83" t="inlineStr">
        <is>
          <t>이민국</t>
        </is>
      </c>
      <c r="G848" s="83" t="inlineStr">
        <is>
          <t>5월 회비</t>
        </is>
      </c>
    </row>
    <row r="849">
      <c r="A849" s="29" t="n">
        <v>46154</v>
      </c>
      <c r="B849" s="83" t="inlineStr">
        <is>
          <t>입금</t>
        </is>
      </c>
      <c r="C849" s="36" t="n">
        <v>30000</v>
      </c>
      <c r="D849" s="36">
        <f>D848+C849</f>
        <v/>
      </c>
      <c r="E849" s="83" t="inlineStr">
        <is>
          <t>일반입금</t>
        </is>
      </c>
      <c r="F849" s="83" t="inlineStr">
        <is>
          <t>장세영</t>
        </is>
      </c>
      <c r="G849" s="83" t="inlineStr">
        <is>
          <t>5월 회비</t>
        </is>
      </c>
    </row>
    <row r="850">
      <c r="A850" s="29" t="n">
        <v>46160</v>
      </c>
      <c r="B850" s="83" t="inlineStr">
        <is>
          <t>입금</t>
        </is>
      </c>
      <c r="C850" s="36" t="n">
        <v>10000</v>
      </c>
      <c r="D850" s="36">
        <f>D849+C850</f>
        <v/>
      </c>
      <c r="E850" s="83" t="inlineStr">
        <is>
          <t>일반입금</t>
        </is>
      </c>
      <c r="F850" s="83" t="inlineStr">
        <is>
          <t>박승한</t>
        </is>
      </c>
      <c r="G850" s="83" t="inlineStr">
        <is>
          <t>6월 회비</t>
        </is>
      </c>
    </row>
    <row r="851">
      <c r="A851" s="29" t="n">
        <v>46160</v>
      </c>
      <c r="B851" s="83" t="inlineStr">
        <is>
          <t>입금</t>
        </is>
      </c>
      <c r="C851" s="36" t="n">
        <v>15000</v>
      </c>
      <c r="D851" s="36">
        <f>D850+C851</f>
        <v/>
      </c>
      <c r="E851" s="83" t="inlineStr">
        <is>
          <t>일반입금</t>
        </is>
      </c>
      <c r="F851" s="83" t="inlineStr">
        <is>
          <t>안재영</t>
        </is>
      </c>
      <c r="G851" s="83" t="inlineStr">
        <is>
          <t>게스트</t>
        </is>
      </c>
      <c r="H851" s="76" t="inlineStr">
        <is>
          <t>5/20 게스트-&gt;5/27 게스트로 이월</t>
        </is>
      </c>
    </row>
    <row r="852">
      <c r="A852" s="29" t="n">
        <v>46161</v>
      </c>
      <c r="B852" s="83" t="inlineStr">
        <is>
          <t>입금</t>
        </is>
      </c>
      <c r="C852" s="36" t="n">
        <v>10000</v>
      </c>
      <c r="D852" s="36">
        <f>D851+C852</f>
        <v/>
      </c>
      <c r="E852" s="83" t="inlineStr">
        <is>
          <t>일반입금</t>
        </is>
      </c>
      <c r="F852" s="83" t="inlineStr">
        <is>
          <t>최승호</t>
        </is>
      </c>
      <c r="G852" s="83" t="inlineStr">
        <is>
          <t>6월 회비</t>
        </is>
      </c>
    </row>
    <row r="853">
      <c r="A853" s="29" t="n">
        <v>46161</v>
      </c>
      <c r="B853" s="83" t="inlineStr">
        <is>
          <t>입금</t>
        </is>
      </c>
      <c r="C853" s="36" t="n">
        <v>99000</v>
      </c>
      <c r="D853" s="36">
        <f>D852+C853</f>
        <v/>
      </c>
      <c r="E853" s="83" t="inlineStr">
        <is>
          <t>일반입금</t>
        </is>
      </c>
      <c r="F853" s="83" t="inlineStr">
        <is>
          <t>상암풋살장</t>
        </is>
      </c>
      <c r="G853" s="83" t="inlineStr">
        <is>
          <t>5/20 우천취소</t>
        </is>
      </c>
    </row>
    <row r="854">
      <c r="A854" s="29" t="n">
        <v>46162</v>
      </c>
      <c r="B854" s="83" t="inlineStr">
        <is>
          <t>입금</t>
        </is>
      </c>
      <c r="C854" s="36" t="n">
        <v>30000</v>
      </c>
      <c r="D854" s="36">
        <f>D853+C854</f>
        <v/>
      </c>
      <c r="E854" s="83" t="inlineStr">
        <is>
          <t>일반입금</t>
        </is>
      </c>
      <c r="F854" s="83" t="inlineStr">
        <is>
          <t>이일웅</t>
        </is>
      </c>
      <c r="G854" s="83" t="inlineStr">
        <is>
          <t>6월 회비</t>
        </is>
      </c>
    </row>
    <row r="855">
      <c r="A855" s="29" t="n">
        <v>46164</v>
      </c>
      <c r="B855" s="83" t="inlineStr">
        <is>
          <t>입금</t>
        </is>
      </c>
      <c r="C855" s="36" t="n">
        <v>30000</v>
      </c>
      <c r="D855" s="36">
        <f>D854+C855</f>
        <v/>
      </c>
      <c r="E855" s="83" t="inlineStr">
        <is>
          <t>일반입금</t>
        </is>
      </c>
      <c r="F855" s="83" t="inlineStr">
        <is>
          <t>박광우</t>
        </is>
      </c>
      <c r="G855" s="83" t="inlineStr">
        <is>
          <t>6월 회비</t>
        </is>
      </c>
    </row>
    <row r="856">
      <c r="A856" s="29" t="n">
        <v>46165</v>
      </c>
      <c r="B856" s="83" t="inlineStr">
        <is>
          <t>입금</t>
        </is>
      </c>
      <c r="C856" s="36" t="n">
        <v>139</v>
      </c>
      <c r="D856" s="36">
        <f>D855+C856</f>
        <v/>
      </c>
      <c r="E856" s="83" t="inlineStr">
        <is>
          <t>일반입금</t>
        </is>
      </c>
      <c r="F856" s="83" t="inlineStr">
        <is>
          <t>입출금통장이자</t>
        </is>
      </c>
      <c r="G856" s="83" t="inlineStr">
        <is>
          <t>기타</t>
        </is>
      </c>
    </row>
    <row r="857">
      <c r="A857" s="29" t="n">
        <v>46167</v>
      </c>
      <c r="B857" s="83" t="inlineStr">
        <is>
          <t>입금</t>
        </is>
      </c>
      <c r="C857" s="36" t="n">
        <v>30000</v>
      </c>
      <c r="D857" s="36">
        <f>D856+C857</f>
        <v/>
      </c>
      <c r="E857" s="83" t="inlineStr">
        <is>
          <t>일반입금</t>
        </is>
      </c>
      <c r="F857" s="83" t="inlineStr">
        <is>
          <t>마상현</t>
        </is>
      </c>
      <c r="G857" s="83" t="inlineStr">
        <is>
          <t>6월 회비</t>
        </is>
      </c>
    </row>
    <row r="858">
      <c r="A858" s="29" t="n">
        <v>46167</v>
      </c>
      <c r="B858" s="83" t="inlineStr">
        <is>
          <t>입금</t>
        </is>
      </c>
      <c r="C858" s="36" t="n">
        <v>10000</v>
      </c>
      <c r="D858" s="36">
        <f>D857+C858</f>
        <v/>
      </c>
      <c r="E858" s="83" t="inlineStr">
        <is>
          <t>일반입금</t>
        </is>
      </c>
      <c r="F858" s="83" t="inlineStr">
        <is>
          <t>정희범</t>
        </is>
      </c>
      <c r="G858" s="83" t="inlineStr">
        <is>
          <t>6월 회비</t>
        </is>
      </c>
    </row>
    <row r="859">
      <c r="A859" s="16" t="n">
        <v>46168</v>
      </c>
      <c r="B859" s="41" t="inlineStr">
        <is>
          <t>입금</t>
        </is>
      </c>
      <c r="C859" s="40" t="n">
        <v>30000</v>
      </c>
      <c r="D859" s="40">
        <f>D858+C859</f>
        <v/>
      </c>
      <c r="E859" s="41" t="inlineStr">
        <is>
          <t>일반입금</t>
        </is>
      </c>
      <c r="F859" s="41" t="inlineStr">
        <is>
          <t>박원주</t>
        </is>
      </c>
      <c r="G859" s="41" t="inlineStr">
        <is>
          <t>6월 회비</t>
        </is>
      </c>
      <c r="H859" s="76" t="inlineStr">
        <is>
          <t>중복납부로 환불처리</t>
        </is>
      </c>
    </row>
    <row r="860">
      <c r="A860" s="29" t="n">
        <v>46168</v>
      </c>
      <c r="B860" s="83" t="inlineStr">
        <is>
          <t>입금</t>
        </is>
      </c>
      <c r="C860" s="36" t="n">
        <v>30000</v>
      </c>
      <c r="D860" s="36">
        <f>D859+C860</f>
        <v/>
      </c>
      <c r="E860" s="83" t="inlineStr">
        <is>
          <t>일반입금</t>
        </is>
      </c>
      <c r="F860" s="83" t="inlineStr">
        <is>
          <t>이희성</t>
        </is>
      </c>
      <c r="G860" s="83" t="inlineStr">
        <is>
          <t>6월 회비</t>
        </is>
      </c>
    </row>
    <row r="861">
      <c r="A861" s="29" t="n">
        <v>46168</v>
      </c>
      <c r="B861" s="83" t="inlineStr">
        <is>
          <t>입금</t>
        </is>
      </c>
      <c r="C861" s="36" t="n">
        <v>30000</v>
      </c>
      <c r="D861" s="36">
        <f>D860+C861</f>
        <v/>
      </c>
      <c r="E861" s="83" t="inlineStr">
        <is>
          <t>일반입금</t>
        </is>
      </c>
      <c r="F861" s="83" t="inlineStr">
        <is>
          <t>김두은</t>
        </is>
      </c>
      <c r="G861" s="83" t="inlineStr">
        <is>
          <t>6월 회비</t>
        </is>
      </c>
    </row>
    <row r="862">
      <c r="A862" s="29" t="n">
        <v>46168</v>
      </c>
      <c r="B862" s="83" t="inlineStr">
        <is>
          <t>입금</t>
        </is>
      </c>
      <c r="C862" s="36" t="n">
        <v>30000</v>
      </c>
      <c r="D862" s="36">
        <f>D861+C862</f>
        <v/>
      </c>
      <c r="E862" s="83" t="inlineStr">
        <is>
          <t>일반입금</t>
        </is>
      </c>
      <c r="F862" s="83" t="inlineStr">
        <is>
          <t>박지원</t>
        </is>
      </c>
      <c r="G862" s="83" t="inlineStr">
        <is>
          <t>6월 회비</t>
        </is>
      </c>
    </row>
    <row r="863">
      <c r="A863" s="29" t="n">
        <v>46168</v>
      </c>
      <c r="B863" s="83" t="inlineStr">
        <is>
          <t>입금</t>
        </is>
      </c>
      <c r="C863" s="36" t="n">
        <v>30000</v>
      </c>
      <c r="D863" s="36">
        <f>D862+C863</f>
        <v/>
      </c>
      <c r="E863" s="83" t="inlineStr">
        <is>
          <t>일반입금</t>
        </is>
      </c>
      <c r="F863" s="83" t="inlineStr">
        <is>
          <t>한승재</t>
        </is>
      </c>
      <c r="G863" s="83" t="inlineStr">
        <is>
          <t>6월 회비</t>
        </is>
      </c>
    </row>
    <row r="864">
      <c r="A864" s="29" t="n">
        <v>46168</v>
      </c>
      <c r="B864" s="83" t="inlineStr">
        <is>
          <t>입금</t>
        </is>
      </c>
      <c r="C864" s="36" t="n">
        <v>30000</v>
      </c>
      <c r="D864" s="36">
        <f>D863+C864</f>
        <v/>
      </c>
      <c r="E864" s="83" t="inlineStr">
        <is>
          <t>일반입금</t>
        </is>
      </c>
      <c r="F864" s="83" t="inlineStr">
        <is>
          <t>손다희</t>
        </is>
      </c>
      <c r="G864" s="83" t="inlineStr">
        <is>
          <t>6월 회비</t>
        </is>
      </c>
    </row>
    <row r="865">
      <c r="A865" s="29" t="n">
        <v>46168</v>
      </c>
      <c r="B865" s="83" t="inlineStr">
        <is>
          <t>입금</t>
        </is>
      </c>
      <c r="C865" s="36" t="n">
        <v>10000</v>
      </c>
      <c r="D865" s="36">
        <f>D864+C865</f>
        <v/>
      </c>
      <c r="E865" s="83" t="inlineStr">
        <is>
          <t>일반입금</t>
        </is>
      </c>
      <c r="F865" s="83" t="inlineStr">
        <is>
          <t>원재식</t>
        </is>
      </c>
      <c r="G865" s="83" t="inlineStr">
        <is>
          <t>6월 회비</t>
        </is>
      </c>
    </row>
    <row r="866">
      <c r="A866" s="29" t="n">
        <v>46168</v>
      </c>
      <c r="B866" s="83" t="inlineStr">
        <is>
          <t>입금</t>
        </is>
      </c>
      <c r="C866" s="36" t="n">
        <v>30000</v>
      </c>
      <c r="D866" s="36">
        <f>D865+C866</f>
        <v/>
      </c>
      <c r="E866" s="83" t="inlineStr">
        <is>
          <t>일반입금</t>
        </is>
      </c>
      <c r="F866" s="83" t="inlineStr">
        <is>
          <t>심소른</t>
        </is>
      </c>
      <c r="G866" s="83" t="inlineStr">
        <is>
          <t>6월 회비</t>
        </is>
      </c>
    </row>
    <row r="867">
      <c r="A867" s="29" t="n">
        <v>46168</v>
      </c>
      <c r="B867" s="83" t="inlineStr">
        <is>
          <t>입금</t>
        </is>
      </c>
      <c r="C867" s="36" t="n">
        <v>30000</v>
      </c>
      <c r="D867" s="36">
        <f>D866+C867</f>
        <v/>
      </c>
      <c r="E867" s="83" t="inlineStr">
        <is>
          <t>일반입금</t>
        </is>
      </c>
      <c r="F867" s="83" t="inlineStr">
        <is>
          <t>임한</t>
        </is>
      </c>
      <c r="G867" s="83" t="inlineStr">
        <is>
          <t>6월 회비</t>
        </is>
      </c>
    </row>
    <row r="868">
      <c r="A868" s="29" t="n">
        <v>46168</v>
      </c>
      <c r="B868" s="83" t="inlineStr">
        <is>
          <t>입금</t>
        </is>
      </c>
      <c r="C868" s="36" t="n">
        <v>30000</v>
      </c>
      <c r="D868" s="36">
        <f>D867+C868</f>
        <v/>
      </c>
      <c r="E868" s="83" t="inlineStr">
        <is>
          <t>일반입금</t>
        </is>
      </c>
      <c r="F868" s="83" t="inlineStr">
        <is>
          <t>표승철</t>
        </is>
      </c>
      <c r="G868" s="83" t="inlineStr">
        <is>
          <t>6월 회비</t>
        </is>
      </c>
    </row>
    <row r="869">
      <c r="A869" s="16" t="n">
        <v>46168</v>
      </c>
      <c r="B869" s="17" t="inlineStr">
        <is>
          <t>출금</t>
        </is>
      </c>
      <c r="C869" s="32" t="n">
        <v>-30000</v>
      </c>
      <c r="D869" s="32">
        <f>D868+C869</f>
        <v/>
      </c>
      <c r="E869" s="17" t="inlineStr">
        <is>
          <t>일반이체</t>
        </is>
      </c>
      <c r="F869" s="17" t="inlineStr">
        <is>
          <t>박원주 회비 환불</t>
        </is>
      </c>
      <c r="G869" s="17" t="inlineStr">
        <is>
          <t>6월 회비 환불</t>
        </is>
      </c>
      <c r="H869" s="76" t="inlineStr">
        <is>
          <t>중복납부로 환불처리</t>
        </is>
      </c>
    </row>
    <row r="870">
      <c r="A870" s="29" t="n">
        <v>46168</v>
      </c>
      <c r="B870" s="83" t="inlineStr">
        <is>
          <t>입금</t>
        </is>
      </c>
      <c r="C870" s="36" t="n">
        <v>30000</v>
      </c>
      <c r="D870" s="36">
        <f>D869+C870</f>
        <v/>
      </c>
      <c r="E870" s="83" t="inlineStr">
        <is>
          <t>일반입금</t>
        </is>
      </c>
      <c r="F870" s="83" t="inlineStr">
        <is>
          <t>이민국</t>
        </is>
      </c>
      <c r="G870" s="83" t="inlineStr">
        <is>
          <t>6월 회비</t>
        </is>
      </c>
    </row>
    <row r="871">
      <c r="A871" s="29" t="n">
        <v>46168</v>
      </c>
      <c r="B871" s="83" t="inlineStr">
        <is>
          <t>입금</t>
        </is>
      </c>
      <c r="C871" s="36" t="n">
        <v>30000</v>
      </c>
      <c r="D871" s="36">
        <f>D870+C871</f>
        <v/>
      </c>
      <c r="E871" s="83" t="inlineStr">
        <is>
          <t>일반입금</t>
        </is>
      </c>
      <c r="F871" s="83" t="inlineStr">
        <is>
          <t>한재욱</t>
        </is>
      </c>
      <c r="G871" s="83" t="inlineStr">
        <is>
          <t>6월 회비</t>
        </is>
      </c>
    </row>
    <row r="872">
      <c r="A872" s="29" t="n"/>
      <c r="C872" s="26" t="n"/>
    </row>
    <row r="873">
      <c r="A873" s="29" t="n"/>
      <c r="C873" s="26" t="n"/>
    </row>
    <row r="874">
      <c r="A874" s="29" t="n"/>
      <c r="C874" s="26" t="n"/>
    </row>
    <row r="875">
      <c r="A875" s="29" t="n"/>
      <c r="C875" s="26" t="n"/>
    </row>
    <row r="876">
      <c r="A876" s="29" t="n"/>
      <c r="C876" s="26" t="n"/>
    </row>
    <row r="877">
      <c r="A877" s="29" t="n"/>
      <c r="C877" s="26" t="n"/>
    </row>
    <row r="878">
      <c r="A878" s="29" t="n"/>
      <c r="C878" s="26" t="n"/>
    </row>
    <row r="879">
      <c r="A879" s="29" t="n"/>
      <c r="C879" s="26" t="n"/>
    </row>
    <row r="880">
      <c r="A880" s="29" t="n"/>
      <c r="C880" s="26" t="n"/>
    </row>
    <row r="881">
      <c r="A881" s="29" t="n"/>
      <c r="C881" s="26" t="n"/>
    </row>
    <row r="882">
      <c r="A882" s="29" t="n"/>
      <c r="C882" s="26" t="n"/>
    </row>
    <row r="883">
      <c r="A883" s="29" t="n"/>
      <c r="C883" s="26" t="n"/>
    </row>
    <row r="884">
      <c r="A884" s="29" t="n"/>
      <c r="C884" s="26" t="n"/>
    </row>
    <row r="885">
      <c r="A885" s="29" t="n"/>
      <c r="C885" s="26" t="n"/>
    </row>
    <row r="886">
      <c r="A886" s="29" t="n"/>
      <c r="C886" s="26" t="n"/>
    </row>
    <row r="887">
      <c r="A887" s="29" t="n"/>
      <c r="C887" s="26" t="n"/>
    </row>
    <row r="888">
      <c r="A888" s="29" t="n"/>
      <c r="C888" s="26" t="n"/>
    </row>
    <row r="889">
      <c r="A889" s="29" t="n"/>
      <c r="C889" s="26" t="n"/>
    </row>
    <row r="890">
      <c r="A890" s="29" t="n"/>
      <c r="C890" s="26" t="n"/>
    </row>
    <row r="891">
      <c r="A891" s="29" t="n"/>
      <c r="C891" s="26" t="n"/>
    </row>
    <row r="892">
      <c r="A892" s="29" t="n"/>
      <c r="C892" s="26" t="n"/>
    </row>
    <row r="893">
      <c r="A893" s="29" t="n"/>
      <c r="C893" s="26" t="n"/>
    </row>
    <row r="894">
      <c r="A894" s="29" t="n"/>
      <c r="C894" s="26" t="n"/>
    </row>
    <row r="895">
      <c r="A895" s="29" t="n"/>
      <c r="C895" s="26" t="n"/>
    </row>
    <row r="896">
      <c r="A896" s="29" t="n"/>
      <c r="C896" s="26" t="n"/>
    </row>
    <row r="897">
      <c r="A897" s="29" t="n"/>
      <c r="C897" s="26" t="n"/>
    </row>
    <row r="898">
      <c r="A898" s="29" t="n"/>
      <c r="C898" s="26" t="n"/>
    </row>
    <row r="899">
      <c r="A899" s="29" t="n"/>
      <c r="C899" s="26" t="n"/>
    </row>
    <row r="900">
      <c r="A900" s="29" t="n"/>
      <c r="C900" s="26" t="n"/>
    </row>
    <row r="901">
      <c r="A901" s="29" t="n"/>
      <c r="C901" s="26" t="n"/>
    </row>
    <row r="902">
      <c r="A902" s="29" t="n"/>
      <c r="C902" s="26" t="n"/>
    </row>
    <row r="903">
      <c r="A903" s="29" t="n"/>
      <c r="C903" s="26" t="n"/>
    </row>
    <row r="904">
      <c r="A904" s="29" t="n"/>
      <c r="C904" s="26" t="n"/>
    </row>
    <row r="905">
      <c r="A905" s="29" t="n"/>
      <c r="C905" s="26" t="n"/>
    </row>
    <row r="906">
      <c r="A906" s="29" t="n"/>
      <c r="C906" s="26" t="n"/>
    </row>
    <row r="907">
      <c r="A907" s="29" t="n"/>
      <c r="C907" s="26" t="n"/>
    </row>
    <row r="908">
      <c r="A908" s="29" t="n"/>
      <c r="C908" s="26" t="n"/>
    </row>
    <row r="909">
      <c r="A909" s="29" t="n"/>
      <c r="C909" s="26" t="n"/>
    </row>
    <row r="910">
      <c r="A910" s="29" t="n"/>
      <c r="C910" s="26" t="n"/>
    </row>
    <row r="911">
      <c r="A911" s="29" t="n"/>
      <c r="C911" s="26" t="n"/>
    </row>
    <row r="912">
      <c r="A912" s="29" t="n"/>
      <c r="C912" s="26" t="n"/>
    </row>
    <row r="913">
      <c r="A913" s="29" t="n"/>
      <c r="C913" s="26" t="n"/>
    </row>
    <row r="914">
      <c r="A914" s="29" t="n"/>
      <c r="C914" s="26" t="n"/>
    </row>
    <row r="915">
      <c r="A915" s="29" t="n"/>
      <c r="C915" s="26" t="n"/>
    </row>
    <row r="916">
      <c r="A916" s="29" t="n"/>
      <c r="C916" s="26" t="n"/>
    </row>
    <row r="917">
      <c r="A917" s="29" t="n"/>
      <c r="C917" s="26" t="n"/>
    </row>
    <row r="918">
      <c r="A918" s="29" t="n"/>
      <c r="C918" s="26" t="n"/>
    </row>
    <row r="919">
      <c r="A919" s="29" t="n"/>
      <c r="C919" s="26" t="n"/>
    </row>
    <row r="920">
      <c r="A920" s="29" t="n"/>
      <c r="C920" s="26" t="n"/>
    </row>
    <row r="921">
      <c r="A921" s="29" t="n"/>
      <c r="C921" s="26" t="n"/>
    </row>
    <row r="922">
      <c r="A922" s="29" t="n"/>
      <c r="C922" s="26" t="n"/>
    </row>
    <row r="923">
      <c r="A923" s="29" t="n"/>
      <c r="C923" s="26" t="n"/>
    </row>
    <row r="924">
      <c r="A924" s="29" t="n"/>
      <c r="C924" s="26" t="n"/>
    </row>
    <row r="925">
      <c r="A925" s="29" t="n"/>
      <c r="C925" s="26" t="n"/>
    </row>
    <row r="926">
      <c r="A926" s="29" t="n"/>
      <c r="C926" s="26" t="n"/>
    </row>
    <row r="927">
      <c r="A927" s="29" t="n"/>
      <c r="C927" s="26" t="n"/>
    </row>
    <row r="928">
      <c r="A928" s="29" t="n"/>
      <c r="C928" s="26" t="n"/>
    </row>
    <row r="929">
      <c r="A929" s="29" t="n"/>
      <c r="C929" s="26" t="n"/>
    </row>
    <row r="930">
      <c r="A930" s="29" t="n"/>
      <c r="C930" s="26" t="n"/>
    </row>
    <row r="931">
      <c r="A931" s="29" t="n"/>
      <c r="C931" s="26" t="n"/>
    </row>
    <row r="932">
      <c r="A932" s="29" t="n"/>
      <c r="C932" s="26" t="n"/>
    </row>
    <row r="933">
      <c r="A933" s="29" t="n"/>
      <c r="C933" s="26" t="n"/>
    </row>
    <row r="934">
      <c r="A934" s="29" t="n"/>
      <c r="C934" s="26" t="n"/>
    </row>
    <row r="935">
      <c r="A935" s="29" t="n"/>
      <c r="C935" s="26" t="n"/>
    </row>
    <row r="936">
      <c r="A936" s="29" t="n"/>
      <c r="C936" s="26" t="n"/>
    </row>
    <row r="937">
      <c r="A937" s="29" t="n"/>
      <c r="C937" s="26" t="n"/>
    </row>
    <row r="938">
      <c r="A938" s="29" t="n"/>
      <c r="C938" s="26" t="n"/>
    </row>
    <row r="939">
      <c r="A939" s="29" t="n"/>
      <c r="C939" s="26" t="n"/>
    </row>
    <row r="940">
      <c r="A940" s="29" t="n"/>
      <c r="C940" s="26" t="n"/>
    </row>
    <row r="941">
      <c r="A941" s="29" t="n"/>
      <c r="C941" s="26" t="n"/>
    </row>
    <row r="942">
      <c r="A942" s="29" t="n"/>
      <c r="C942" s="26" t="n"/>
    </row>
    <row r="943">
      <c r="A943" s="29" t="n"/>
      <c r="C943" s="26" t="n"/>
    </row>
    <row r="944">
      <c r="A944" s="29" t="n"/>
      <c r="C944" s="26" t="n"/>
    </row>
    <row r="945">
      <c r="A945" s="29" t="n"/>
      <c r="C945" s="26" t="n"/>
    </row>
    <row r="946">
      <c r="A946" s="29" t="n"/>
      <c r="C946" s="26" t="n"/>
    </row>
    <row r="947">
      <c r="A947" s="29" t="n"/>
      <c r="C947" s="26" t="n"/>
    </row>
    <row r="948">
      <c r="A948" s="29" t="n"/>
      <c r="C948" s="26" t="n"/>
    </row>
    <row r="949">
      <c r="A949" s="29" t="n"/>
      <c r="C949" s="26" t="n"/>
    </row>
    <row r="950">
      <c r="A950" s="29" t="n"/>
      <c r="C950" s="26" t="n"/>
    </row>
    <row r="951">
      <c r="A951" s="29" t="n"/>
      <c r="C951" s="26" t="n"/>
    </row>
    <row r="952">
      <c r="A952" s="29" t="n"/>
      <c r="C952" s="26" t="n"/>
    </row>
    <row r="953">
      <c r="A953" s="29" t="n"/>
      <c r="C953" s="26" t="n"/>
    </row>
    <row r="954">
      <c r="A954" s="29" t="n"/>
      <c r="C954" s="26" t="n"/>
    </row>
    <row r="955">
      <c r="A955" s="29" t="n"/>
      <c r="C955" s="26" t="n"/>
    </row>
    <row r="956">
      <c r="A956" s="29" t="n"/>
      <c r="C956" s="26" t="n"/>
    </row>
    <row r="957">
      <c r="A957" s="29" t="n"/>
      <c r="C957" s="26" t="n"/>
    </row>
    <row r="958">
      <c r="A958" s="29" t="n"/>
      <c r="C958" s="26" t="n"/>
    </row>
    <row r="959">
      <c r="A959" s="29" t="n"/>
      <c r="C959" s="26" t="n"/>
    </row>
    <row r="960">
      <c r="A960" s="29" t="n"/>
      <c r="C960" s="26" t="n"/>
    </row>
    <row r="961">
      <c r="A961" s="29" t="n"/>
      <c r="C961" s="26" t="n"/>
    </row>
    <row r="962">
      <c r="A962" s="29" t="n"/>
      <c r="C962" s="26" t="n"/>
    </row>
    <row r="963">
      <c r="A963" s="29" t="n"/>
      <c r="C963" s="26" t="n"/>
    </row>
    <row r="964">
      <c r="A964" s="29" t="n"/>
      <c r="C964" s="26" t="n"/>
    </row>
    <row r="965">
      <c r="A965" s="29" t="n"/>
      <c r="C965" s="26" t="n"/>
    </row>
    <row r="966">
      <c r="A966" s="29" t="n"/>
      <c r="C966" s="26" t="n"/>
    </row>
    <row r="967">
      <c r="A967" s="29" t="n"/>
      <c r="C967" s="26" t="n"/>
    </row>
    <row r="968">
      <c r="A968" s="29" t="n"/>
      <c r="C968" s="26" t="n"/>
    </row>
    <row r="969">
      <c r="A969" s="29" t="n"/>
      <c r="C969" s="26" t="n"/>
    </row>
    <row r="970">
      <c r="A970" s="29" t="n"/>
      <c r="C970" s="26" t="n"/>
    </row>
    <row r="971">
      <c r="A971" s="29" t="n"/>
      <c r="C971" s="26" t="n"/>
    </row>
    <row r="972">
      <c r="A972" s="29" t="n"/>
      <c r="C972" s="26" t="n"/>
    </row>
    <row r="973">
      <c r="A973" s="29" t="n"/>
      <c r="C973" s="26" t="n"/>
    </row>
    <row r="974">
      <c r="A974" s="29" t="n"/>
      <c r="C974" s="26" t="n"/>
    </row>
    <row r="975">
      <c r="A975" s="29" t="n"/>
      <c r="C975" s="26" t="n"/>
    </row>
    <row r="976">
      <c r="A976" s="29" t="n"/>
      <c r="C976" s="26" t="n"/>
    </row>
    <row r="977">
      <c r="A977" s="29" t="n"/>
      <c r="C977" s="26" t="n"/>
    </row>
    <row r="978">
      <c r="A978" s="29" t="n"/>
      <c r="C978" s="26" t="n"/>
    </row>
    <row r="979">
      <c r="A979" s="29" t="n"/>
      <c r="C979" s="26" t="n"/>
    </row>
    <row r="980">
      <c r="A980" s="29" t="n"/>
      <c r="C980" s="26" t="n"/>
    </row>
    <row r="981">
      <c r="A981" s="29" t="n"/>
      <c r="C981" s="26" t="n"/>
    </row>
    <row r="982">
      <c r="A982" s="29" t="n"/>
      <c r="C982" s="26" t="n"/>
    </row>
    <row r="983">
      <c r="A983" s="29" t="n"/>
      <c r="C983" s="26" t="n"/>
    </row>
    <row r="984">
      <c r="A984" s="29" t="n"/>
      <c r="C984" s="26" t="n"/>
    </row>
    <row r="985">
      <c r="A985" s="29" t="n"/>
      <c r="C985" s="26" t="n"/>
    </row>
    <row r="986">
      <c r="A986" s="29" t="n"/>
      <c r="C986" s="26" t="n"/>
    </row>
    <row r="987">
      <c r="A987" s="29" t="n"/>
      <c r="C987" s="26" t="n"/>
    </row>
    <row r="988">
      <c r="A988" s="29" t="n"/>
      <c r="C988" s="26" t="n"/>
    </row>
    <row r="989">
      <c r="A989" s="29" t="n"/>
      <c r="C989" s="26" t="n"/>
    </row>
    <row r="990">
      <c r="A990" s="29" t="n"/>
      <c r="C990" s="26" t="n"/>
    </row>
    <row r="991">
      <c r="A991" s="29" t="n"/>
      <c r="C991" s="26" t="n"/>
    </row>
    <row r="992">
      <c r="A992" s="29" t="n"/>
      <c r="C992" s="26" t="n"/>
    </row>
    <row r="993">
      <c r="A993" s="29" t="n"/>
      <c r="C993" s="26" t="n"/>
    </row>
    <row r="994">
      <c r="A994" s="29" t="n"/>
      <c r="C994" s="26" t="n"/>
    </row>
    <row r="995">
      <c r="A995" s="29" t="n"/>
      <c r="C995" s="26" t="n"/>
    </row>
    <row r="996">
      <c r="A996" s="29" t="n"/>
      <c r="C996" s="26" t="n"/>
    </row>
    <row r="997">
      <c r="A997" s="29" t="n"/>
      <c r="C997" s="26" t="n"/>
    </row>
    <row r="998">
      <c r="A998" s="29" t="n"/>
      <c r="C998" s="26" t="n"/>
    </row>
    <row r="999">
      <c r="A999" s="29" t="n"/>
      <c r="C999" s="26" t="n"/>
    </row>
    <row r="1000">
      <c r="A1000" s="29" t="n"/>
      <c r="C1000" s="26" t="n"/>
    </row>
    <row r="1001">
      <c r="A1001" s="29" t="n"/>
      <c r="C1001" s="26" t="n"/>
    </row>
    <row r="1002">
      <c r="A1002" s="29" t="n"/>
      <c r="C1002" s="26" t="n"/>
    </row>
    <row r="1003">
      <c r="A1003" s="29" t="n"/>
      <c r="C1003" s="26" t="n"/>
    </row>
    <row r="1004">
      <c r="A1004" s="29" t="n"/>
      <c r="C1004" s="26" t="n"/>
    </row>
    <row r="1005">
      <c r="A1005" s="29" t="n"/>
      <c r="C1005" s="26" t="n"/>
    </row>
    <row r="1006">
      <c r="A1006" s="29" t="n"/>
      <c r="C1006" s="26" t="n"/>
    </row>
    <row r="1007">
      <c r="A1007" s="29" t="n"/>
      <c r="C1007" s="26" t="n"/>
    </row>
    <row r="1008">
      <c r="A1008" s="29" t="n"/>
      <c r="C1008" s="26" t="n"/>
    </row>
    <row r="1009">
      <c r="A1009" s="29" t="n"/>
      <c r="C1009" s="26" t="n"/>
    </row>
    <row r="1010">
      <c r="A1010" s="29" t="n"/>
      <c r="C1010" s="26" t="n"/>
    </row>
    <row r="1011">
      <c r="A1011" s="29" t="n"/>
      <c r="C1011" s="26" t="n"/>
    </row>
    <row r="1012">
      <c r="A1012" s="29" t="n"/>
      <c r="C1012" s="2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5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2.63" defaultRowHeight="15.75" customHeight="1"/>
  <cols>
    <col width="3.63" customWidth="1" style="151" min="1" max="1"/>
    <col width="11.75" customWidth="1" style="151" min="2" max="2"/>
    <col width="10.13" customWidth="1" style="151" min="3" max="3"/>
    <col width="4.13" customWidth="1" style="151" min="4" max="4"/>
    <col width="7.25" customWidth="1" style="151" min="5" max="5"/>
    <col width="7.38" customWidth="1" style="151" min="6" max="6"/>
    <col width="7.13" customWidth="1" style="151" min="7" max="7"/>
    <col width="7.5" customWidth="1" style="151" min="8" max="15"/>
    <col width="7.88" customWidth="1" style="151" min="16" max="16"/>
    <col width="7.5" customWidth="1" style="151" min="17" max="25"/>
    <col width="4.5" customWidth="1" style="151" min="26" max="26"/>
  </cols>
  <sheetData>
    <row r="1">
      <c r="A1" s="42" t="inlineStr">
        <is>
          <t>no.</t>
        </is>
      </c>
      <c r="B1" s="42" t="inlineStr">
        <is>
          <t>이름</t>
        </is>
      </c>
      <c r="C1" s="44" t="inlineStr">
        <is>
          <t>총 납부</t>
        </is>
      </c>
      <c r="D1" s="44" t="inlineStr">
        <is>
          <t>횟수</t>
        </is>
      </c>
      <c r="E1" s="45" t="n">
        <v>24.11</v>
      </c>
      <c r="F1" s="45" t="n">
        <v>24.12</v>
      </c>
      <c r="G1" s="45" t="n">
        <v>25.01</v>
      </c>
      <c r="H1" s="45" t="n">
        <v>25.02</v>
      </c>
      <c r="I1" s="45" t="n">
        <v>25.03</v>
      </c>
      <c r="J1" s="45" t="n">
        <v>25.04</v>
      </c>
      <c r="K1" s="45" t="n">
        <v>25.05</v>
      </c>
      <c r="L1" s="45" t="n">
        <v>25.06</v>
      </c>
      <c r="M1" s="45" t="n">
        <v>25.07</v>
      </c>
      <c r="N1" s="45" t="n">
        <v>25.08</v>
      </c>
      <c r="O1" s="45" t="n">
        <v>25.09</v>
      </c>
      <c r="P1" s="45" t="inlineStr">
        <is>
          <t>25.10'</t>
        </is>
      </c>
      <c r="Q1" s="45" t="n">
        <v>25.11</v>
      </c>
      <c r="R1" s="45" t="n">
        <v>25.12</v>
      </c>
      <c r="S1" s="45" t="n">
        <v>26.01</v>
      </c>
      <c r="T1" s="45" t="n">
        <v>26.02</v>
      </c>
      <c r="U1" s="45" t="n">
        <v>26.03</v>
      </c>
      <c r="V1" s="45" t="n">
        <v>26.04</v>
      </c>
      <c r="W1" s="45" t="n">
        <v>26.05</v>
      </c>
      <c r="X1" s="45" t="n">
        <v>26.06</v>
      </c>
      <c r="Y1" s="45" t="n">
        <v>26.07</v>
      </c>
      <c r="Z1" s="46" t="n"/>
    </row>
    <row r="2">
      <c r="A2" s="47" t="n"/>
      <c r="B2" s="50" t="inlineStr">
        <is>
          <t>납부</t>
        </is>
      </c>
      <c r="C2" s="49">
        <f>SUM(C5:C56)</f>
        <v/>
      </c>
      <c r="D2" s="50" t="n"/>
      <c r="E2" s="50">
        <f>COUNT(E5:E18)</f>
        <v/>
      </c>
      <c r="F2" s="50">
        <f>COUNT(F5:F19)</f>
        <v/>
      </c>
      <c r="G2" s="50">
        <f>COUNT(G5:G20)</f>
        <v/>
      </c>
      <c r="H2" s="50">
        <f>COUNT(H5:H43)</f>
        <v/>
      </c>
      <c r="I2" s="50">
        <f>COUNT(I5:I43)</f>
        <v/>
      </c>
      <c r="J2" s="50">
        <f>COUNT(J5:J45)</f>
        <v/>
      </c>
      <c r="K2" s="50">
        <f>COUNT(K5:K45)</f>
        <v/>
      </c>
      <c r="L2" s="50">
        <f>COUNT(L5:L45)</f>
        <v/>
      </c>
      <c r="M2" s="50">
        <f>COUNT(M5:M45)</f>
        <v/>
      </c>
      <c r="N2" s="50">
        <f>COUNT(N5:N45)</f>
        <v/>
      </c>
      <c r="O2" s="50">
        <f>COUNT(O5:O31)</f>
        <v/>
      </c>
      <c r="P2" s="50">
        <f>COUNT(P5:P32)</f>
        <v/>
      </c>
      <c r="Q2" s="50">
        <f>COUNT(Q5:Q33)</f>
        <v/>
      </c>
      <c r="R2" s="50">
        <f>COUNT(R5:R33)</f>
        <v/>
      </c>
      <c r="S2" s="50">
        <f>COUNT(S5:S45)</f>
        <v/>
      </c>
      <c r="T2" s="50">
        <f>COUNT(T5:T35)</f>
        <v/>
      </c>
      <c r="U2" s="50">
        <f>COUNT(U5:U35)</f>
        <v/>
      </c>
      <c r="V2" s="50">
        <f>COUNT(V5:V40)</f>
        <v/>
      </c>
      <c r="W2" s="50">
        <f>COUNT(W5:W42)</f>
        <v/>
      </c>
      <c r="X2" s="50">
        <f>COUNT(X5:X42)</f>
        <v/>
      </c>
      <c r="Y2" s="50">
        <f>COUNT(Y5:Y38)</f>
        <v/>
      </c>
      <c r="Z2" s="47" t="n"/>
    </row>
    <row r="3">
      <c r="A3" s="51" t="n"/>
      <c r="B3" s="53" t="inlineStr">
        <is>
          <t>미납</t>
        </is>
      </c>
      <c r="C3" s="53" t="n"/>
      <c r="D3" s="53" t="n"/>
      <c r="E3" s="54">
        <f>E4-E2</f>
        <v/>
      </c>
      <c r="F3" s="54">
        <f>F4-F2</f>
        <v/>
      </c>
      <c r="G3" s="54">
        <f>G4-G2</f>
        <v/>
      </c>
      <c r="H3" s="54">
        <f>H4-H2</f>
        <v/>
      </c>
      <c r="I3" s="54">
        <f>I4-I2</f>
        <v/>
      </c>
      <c r="J3" s="54">
        <f>J4-J2</f>
        <v/>
      </c>
      <c r="K3" s="54">
        <f>K4-K2</f>
        <v/>
      </c>
      <c r="L3" s="54">
        <f>L4-L2</f>
        <v/>
      </c>
      <c r="M3" s="54">
        <f>M4-M2</f>
        <v/>
      </c>
      <c r="N3" s="54">
        <f>N4-N2</f>
        <v/>
      </c>
      <c r="O3" s="54">
        <f>O4-O2</f>
        <v/>
      </c>
      <c r="P3" s="54">
        <f>P4-P2</f>
        <v/>
      </c>
      <c r="Q3" s="54">
        <f>Q4-Q2</f>
        <v/>
      </c>
      <c r="R3" s="54">
        <f>R4-R2</f>
        <v/>
      </c>
      <c r="S3" s="54">
        <f>S4-S2</f>
        <v/>
      </c>
      <c r="T3" s="54">
        <f>T4-T2</f>
        <v/>
      </c>
      <c r="U3" s="54">
        <f>U4-U2</f>
        <v/>
      </c>
      <c r="V3" s="54">
        <f>V4-V2</f>
        <v/>
      </c>
      <c r="W3" s="54">
        <f>W4-W2</f>
        <v/>
      </c>
      <c r="X3" s="54">
        <f>X4-X2</f>
        <v/>
      </c>
      <c r="Y3" s="54">
        <f>Y4-Y2</f>
        <v/>
      </c>
      <c r="Z3" s="51" t="n"/>
    </row>
    <row r="4">
      <c r="A4" s="58" t="n"/>
      <c r="B4" s="56" t="inlineStr">
        <is>
          <t>총 인원</t>
        </is>
      </c>
      <c r="C4" s="56" t="n"/>
      <c r="D4" s="56" t="n"/>
      <c r="E4" s="99">
        <f>COUNT(E5:E18)</f>
        <v/>
      </c>
      <c r="F4" s="99">
        <f>COUNT(F5:F19)</f>
        <v/>
      </c>
      <c r="G4" s="99">
        <f>COUNT(G5:G20)</f>
        <v/>
      </c>
      <c r="H4" s="99">
        <f>COUNT(H5:H43)</f>
        <v/>
      </c>
      <c r="I4" s="99">
        <f>COUNT(I5:I45)</f>
        <v/>
      </c>
      <c r="J4" s="99">
        <f>COUNT(J5:J45)</f>
        <v/>
      </c>
      <c r="K4" s="99">
        <f>COUNT(K5:K45)</f>
        <v/>
      </c>
      <c r="L4" s="99">
        <f>COUNT(L5:L45)</f>
        <v/>
      </c>
      <c r="M4" s="99">
        <f>COUNT(M5:M45)</f>
        <v/>
      </c>
      <c r="N4" s="99">
        <f>COUNT(N5:N45)</f>
        <v/>
      </c>
      <c r="O4" s="99">
        <f>COUNT(O5:O31)</f>
        <v/>
      </c>
      <c r="P4" s="99">
        <f>COUNT(P5:P32)</f>
        <v/>
      </c>
      <c r="Q4" s="99">
        <f>COUNT(Q5:Q33)</f>
        <v/>
      </c>
      <c r="R4" s="99">
        <f>COUNT(R5:R33)</f>
        <v/>
      </c>
      <c r="S4" s="99">
        <f>COUNT(S5:S33)</f>
        <v/>
      </c>
      <c r="T4" s="99">
        <f>COUNT(T5:T35)</f>
        <v/>
      </c>
      <c r="U4" s="99">
        <f>COUNT(U5:U35)</f>
        <v/>
      </c>
      <c r="V4" s="99">
        <f>COUNT(V5:V40)</f>
        <v/>
      </c>
      <c r="W4" s="99">
        <f>COUNT(W5:W42)</f>
        <v/>
      </c>
      <c r="X4" s="99">
        <f>COUNT(X5:X42)</f>
        <v/>
      </c>
      <c r="Y4" s="99">
        <f>COUNT(Y5:Y38)</f>
        <v/>
      </c>
      <c r="Z4" s="58" t="n"/>
    </row>
    <row r="5">
      <c r="A5" s="59" t="n">
        <v>1</v>
      </c>
      <c r="B5" s="102" t="inlineStr">
        <is>
          <t>박승한</t>
        </is>
      </c>
      <c r="C5" s="62">
        <f>D5*E5</f>
        <v/>
      </c>
      <c r="D5" s="62">
        <f>COUNT(E5:Z5)</f>
        <v/>
      </c>
      <c r="E5" s="62" t="n">
        <v>10000</v>
      </c>
      <c r="F5" s="62" t="n">
        <v>10000</v>
      </c>
      <c r="G5" s="63" t="n">
        <v>10000</v>
      </c>
      <c r="H5" s="63" t="inlineStr">
        <is>
          <t>부상</t>
        </is>
      </c>
      <c r="I5" s="63" t="n">
        <v>10000</v>
      </c>
      <c r="J5" s="63" t="n">
        <v>10000</v>
      </c>
      <c r="K5" s="63" t="n">
        <v>10000</v>
      </c>
      <c r="L5" s="63" t="n">
        <v>10000</v>
      </c>
      <c r="M5" s="63" t="n">
        <v>10000</v>
      </c>
      <c r="N5" s="63" t="n">
        <v>10000</v>
      </c>
      <c r="O5" s="63" t="n">
        <v>10000</v>
      </c>
      <c r="P5" s="63" t="n">
        <v>10000</v>
      </c>
      <c r="Q5" s="63" t="n">
        <v>10000</v>
      </c>
      <c r="R5" s="63" t="n">
        <v>10000</v>
      </c>
      <c r="S5" s="63" t="n">
        <v>10000</v>
      </c>
      <c r="T5" s="63" t="n">
        <v>10000</v>
      </c>
      <c r="U5" s="63" t="n">
        <v>10000</v>
      </c>
      <c r="V5" s="63" t="n">
        <v>10000</v>
      </c>
      <c r="W5" s="63" t="n">
        <v>10000</v>
      </c>
      <c r="X5" s="63" t="n">
        <v>10000</v>
      </c>
      <c r="Y5" s="64" t="n"/>
      <c r="Z5" s="65" t="n"/>
    </row>
    <row r="6">
      <c r="A6" s="59" t="n">
        <v>2</v>
      </c>
      <c r="B6" s="94" t="inlineStr">
        <is>
          <t>홍순인</t>
        </is>
      </c>
      <c r="C6" s="93">
        <f>D6*E6</f>
        <v/>
      </c>
      <c r="D6" s="93">
        <f>COUNT(E6:Z6)</f>
        <v/>
      </c>
      <c r="E6" s="93" t="n">
        <v>10000</v>
      </c>
      <c r="F6" s="93" t="n">
        <v>10000</v>
      </c>
      <c r="G6" s="93" t="n">
        <v>10000</v>
      </c>
      <c r="H6" s="93" t="n">
        <v>10000</v>
      </c>
      <c r="I6" s="93" t="n">
        <v>10000</v>
      </c>
      <c r="J6" s="93" t="n">
        <v>10000</v>
      </c>
      <c r="K6" s="93" t="n">
        <v>10000</v>
      </c>
      <c r="L6" s="93" t="n">
        <v>10000</v>
      </c>
      <c r="M6" s="93" t="n">
        <v>10000</v>
      </c>
      <c r="N6" s="93" t="n">
        <v>10000</v>
      </c>
      <c r="O6" s="93" t="n">
        <v>10000</v>
      </c>
      <c r="P6" s="93" t="n">
        <v>10000</v>
      </c>
      <c r="Q6" s="93" t="n">
        <v>10000</v>
      </c>
      <c r="R6" s="93" t="n">
        <v>10000</v>
      </c>
      <c r="S6" s="93" t="n">
        <v>10000</v>
      </c>
      <c r="T6" s="93" t="n">
        <v>10000</v>
      </c>
      <c r="U6" s="93" t="n">
        <v>10000</v>
      </c>
      <c r="V6" s="93" t="n">
        <v>10000</v>
      </c>
      <c r="W6" s="93" t="n">
        <v>10000</v>
      </c>
      <c r="X6" s="69" t="n"/>
      <c r="Y6" s="69" t="n"/>
      <c r="Z6" s="96" t="n"/>
    </row>
    <row r="7">
      <c r="A7" s="59" t="n">
        <v>3</v>
      </c>
      <c r="B7" s="75" t="inlineStr">
        <is>
          <t>손다희</t>
        </is>
      </c>
      <c r="C7" s="73">
        <f>D7*E7</f>
        <v/>
      </c>
      <c r="D7" s="73">
        <f>COUNT(E7:Z7)</f>
        <v/>
      </c>
      <c r="E7" s="73" t="n">
        <v>30000</v>
      </c>
      <c r="F7" s="73" t="n">
        <v>30000</v>
      </c>
      <c r="G7" s="132" t="inlineStr">
        <is>
          <t>부상</t>
        </is>
      </c>
      <c r="H7" s="73" t="n">
        <v>30000</v>
      </c>
      <c r="I7" s="73" t="n">
        <v>30000</v>
      </c>
      <c r="J7" s="73" t="n">
        <v>30000</v>
      </c>
      <c r="K7" s="73" t="n">
        <v>30000</v>
      </c>
      <c r="L7" s="73" t="n">
        <v>30000</v>
      </c>
      <c r="M7" s="73" t="n">
        <v>30000</v>
      </c>
      <c r="N7" s="132" t="inlineStr">
        <is>
          <t>휴면</t>
        </is>
      </c>
      <c r="O7" s="73" t="n">
        <v>30000</v>
      </c>
      <c r="P7" s="73" t="n">
        <v>30000</v>
      </c>
      <c r="Q7" s="73" t="n">
        <v>30000</v>
      </c>
      <c r="R7" s="75" t="inlineStr">
        <is>
          <t>휴면</t>
        </is>
      </c>
      <c r="S7" s="75" t="inlineStr">
        <is>
          <t>휴면</t>
        </is>
      </c>
      <c r="T7" s="73" t="n">
        <v>30000</v>
      </c>
      <c r="U7" s="73" t="n">
        <v>30000</v>
      </c>
      <c r="V7" s="73" t="n">
        <v>30000</v>
      </c>
      <c r="W7" s="73" t="n">
        <v>30000</v>
      </c>
      <c r="X7" s="73" t="n">
        <v>30000</v>
      </c>
      <c r="Y7" s="132" t="n"/>
      <c r="Z7" s="76" t="n"/>
    </row>
    <row r="8">
      <c r="A8" s="59" t="n">
        <v>4</v>
      </c>
      <c r="B8" s="94" t="inlineStr">
        <is>
          <t>정희범</t>
        </is>
      </c>
      <c r="C8" s="93">
        <f>D8*E8</f>
        <v/>
      </c>
      <c r="D8" s="93">
        <f>COUNT(E8:Z8)</f>
        <v/>
      </c>
      <c r="E8" s="93" t="n">
        <v>10000</v>
      </c>
      <c r="F8" s="93" t="n">
        <v>10000</v>
      </c>
      <c r="G8" s="93" t="n">
        <v>10000</v>
      </c>
      <c r="H8" s="69" t="n">
        <v>10000</v>
      </c>
      <c r="I8" s="93" t="n">
        <v>10000</v>
      </c>
      <c r="J8" s="93" t="n">
        <v>10000</v>
      </c>
      <c r="K8" s="93" t="n">
        <v>10000</v>
      </c>
      <c r="L8" s="93" t="n">
        <v>10000</v>
      </c>
      <c r="M8" s="93" t="n">
        <v>10000</v>
      </c>
      <c r="N8" s="93" t="n">
        <v>10000</v>
      </c>
      <c r="O8" s="93" t="n">
        <v>10000</v>
      </c>
      <c r="P8" s="93" t="n">
        <v>10000</v>
      </c>
      <c r="Q8" s="93" t="n">
        <v>10000</v>
      </c>
      <c r="R8" s="93" t="n">
        <v>10000</v>
      </c>
      <c r="S8" s="93" t="n">
        <v>10000</v>
      </c>
      <c r="T8" s="93" t="n">
        <v>10000</v>
      </c>
      <c r="U8" s="93" t="n">
        <v>10000</v>
      </c>
      <c r="V8" s="93" t="n">
        <v>10000</v>
      </c>
      <c r="W8" s="93" t="n">
        <v>10000</v>
      </c>
      <c r="X8" s="93" t="n">
        <v>10000</v>
      </c>
      <c r="Y8" s="69" t="n"/>
      <c r="Z8" s="96" t="n"/>
    </row>
    <row r="9">
      <c r="A9" s="59" t="n">
        <v>5</v>
      </c>
      <c r="B9" s="75" t="inlineStr">
        <is>
          <t>김이연</t>
        </is>
      </c>
      <c r="C9" s="73">
        <f>D9*I9+120000</f>
        <v/>
      </c>
      <c r="D9" s="73">
        <f>COUNT(E9:Z9)</f>
        <v/>
      </c>
      <c r="E9" s="73" t="n">
        <v>30000</v>
      </c>
      <c r="F9" s="73" t="n">
        <v>30000</v>
      </c>
      <c r="G9" s="73" t="n">
        <v>30000</v>
      </c>
      <c r="H9" s="132" t="n">
        <v>30000</v>
      </c>
      <c r="I9" s="93" t="n">
        <v>10000</v>
      </c>
      <c r="J9" s="93" t="n">
        <v>10000</v>
      </c>
      <c r="K9" s="93" t="n">
        <v>10000</v>
      </c>
      <c r="L9" s="93" t="n">
        <v>10000</v>
      </c>
      <c r="M9" s="93" t="n">
        <v>10000</v>
      </c>
      <c r="N9" s="93" t="n">
        <v>10000</v>
      </c>
      <c r="O9" s="93" t="n">
        <v>10000</v>
      </c>
      <c r="P9" s="93" t="n">
        <v>10000</v>
      </c>
      <c r="Q9" s="93" t="n">
        <v>10000</v>
      </c>
      <c r="R9" s="93" t="n">
        <v>10000</v>
      </c>
      <c r="S9" s="93" t="n">
        <v>10000</v>
      </c>
      <c r="T9" s="93" t="n">
        <v>10000</v>
      </c>
      <c r="U9" s="93" t="n">
        <v>10000</v>
      </c>
      <c r="V9" s="93" t="n">
        <v>10000</v>
      </c>
      <c r="W9" s="93" t="n">
        <v>10000</v>
      </c>
      <c r="X9" s="73" t="inlineStr">
        <is>
          <t>휴면</t>
        </is>
      </c>
      <c r="Y9" s="132" t="n"/>
      <c r="Z9" s="76" t="n"/>
    </row>
    <row r="10">
      <c r="A10" s="59" t="n">
        <v>6</v>
      </c>
      <c r="B10" s="94" t="inlineStr">
        <is>
          <t>원재식</t>
        </is>
      </c>
      <c r="C10" s="93">
        <f>D10*E10</f>
        <v/>
      </c>
      <c r="D10" s="93">
        <f>COUNT(E10:Z10)</f>
        <v/>
      </c>
      <c r="E10" s="93" t="n">
        <v>10000</v>
      </c>
      <c r="F10" s="93" t="n">
        <v>10000</v>
      </c>
      <c r="G10" s="93" t="n">
        <v>10000</v>
      </c>
      <c r="H10" s="93" t="n">
        <v>10000</v>
      </c>
      <c r="I10" s="93" t="n">
        <v>10000</v>
      </c>
      <c r="J10" s="93" t="n">
        <v>10000</v>
      </c>
      <c r="K10" s="93" t="n">
        <v>10000</v>
      </c>
      <c r="L10" s="93" t="n">
        <v>10000</v>
      </c>
      <c r="M10" s="93" t="n">
        <v>10000</v>
      </c>
      <c r="N10" s="93" t="n">
        <v>10000</v>
      </c>
      <c r="O10" s="93" t="n">
        <v>10000</v>
      </c>
      <c r="P10" s="93" t="n">
        <v>10000</v>
      </c>
      <c r="Q10" s="93" t="n">
        <v>10000</v>
      </c>
      <c r="R10" s="93" t="n">
        <v>10000</v>
      </c>
      <c r="S10" s="93" t="n">
        <v>10000</v>
      </c>
      <c r="T10" s="93" t="n">
        <v>10000</v>
      </c>
      <c r="U10" s="93" t="n">
        <v>10000</v>
      </c>
      <c r="V10" s="93" t="n">
        <v>10000</v>
      </c>
      <c r="W10" s="93" t="n">
        <v>10000</v>
      </c>
      <c r="X10" s="93" t="n">
        <v>10000</v>
      </c>
      <c r="Y10" s="93" t="n"/>
      <c r="Z10" s="96" t="n"/>
    </row>
    <row r="11">
      <c r="A11" s="59" t="n">
        <v>7</v>
      </c>
      <c r="B11" s="75" t="inlineStr">
        <is>
          <t>장세영</t>
        </is>
      </c>
      <c r="C11" s="73">
        <f>D11*E11</f>
        <v/>
      </c>
      <c r="D11" s="73">
        <f>COUNT(E11:Z11)</f>
        <v/>
      </c>
      <c r="E11" s="73" t="n">
        <v>30000</v>
      </c>
      <c r="F11" s="73" t="n">
        <v>30000</v>
      </c>
      <c r="G11" s="73" t="n">
        <v>30000</v>
      </c>
      <c r="H11" s="132" t="inlineStr">
        <is>
          <t>부상</t>
        </is>
      </c>
      <c r="I11" s="73" t="n">
        <v>30000</v>
      </c>
      <c r="J11" s="73" t="n">
        <v>30000</v>
      </c>
      <c r="K11" s="73" t="n">
        <v>30000</v>
      </c>
      <c r="L11" s="73" t="n">
        <v>30000</v>
      </c>
      <c r="M11" s="73" t="n">
        <v>30000</v>
      </c>
      <c r="N11" s="73" t="n">
        <v>30000</v>
      </c>
      <c r="O11" s="73" t="n">
        <v>30000</v>
      </c>
      <c r="P11" s="73" t="n">
        <v>30000</v>
      </c>
      <c r="Q11" s="73" t="n">
        <v>30000</v>
      </c>
      <c r="R11" s="73" t="n">
        <v>30000</v>
      </c>
      <c r="S11" s="73" t="n">
        <v>30000</v>
      </c>
      <c r="T11" s="73" t="n">
        <v>30000</v>
      </c>
      <c r="U11" s="73" t="n">
        <v>30000</v>
      </c>
      <c r="V11" s="73" t="n">
        <v>30000</v>
      </c>
      <c r="W11" s="73" t="n">
        <v>30000</v>
      </c>
      <c r="X11" s="132" t="n"/>
      <c r="Y11" s="132" t="n"/>
      <c r="Z11" s="76" t="n"/>
    </row>
    <row r="12">
      <c r="A12" s="59" t="n">
        <v>8</v>
      </c>
      <c r="B12" s="75" t="inlineStr">
        <is>
          <t>김우경</t>
        </is>
      </c>
      <c r="C12" s="73">
        <f>D12*E12</f>
        <v/>
      </c>
      <c r="D12" s="73">
        <f>COUNT(E12:Z12)</f>
        <v/>
      </c>
      <c r="E12" s="73" t="n">
        <v>30000</v>
      </c>
      <c r="F12" s="73" t="n">
        <v>30000</v>
      </c>
      <c r="G12" s="73" t="n">
        <v>30000</v>
      </c>
      <c r="H12" s="73" t="n">
        <v>30000</v>
      </c>
      <c r="I12" s="73" t="n">
        <v>30000</v>
      </c>
      <c r="J12" s="73" t="n">
        <v>30000</v>
      </c>
      <c r="K12" s="73" t="n">
        <v>30000</v>
      </c>
      <c r="L12" s="73" t="n">
        <v>30000</v>
      </c>
      <c r="M12" s="75" t="inlineStr">
        <is>
          <t>휴면</t>
        </is>
      </c>
      <c r="N12" s="73" t="n">
        <v>30000</v>
      </c>
      <c r="O12" s="73" t="n">
        <v>30000</v>
      </c>
      <c r="P12" s="73" t="n">
        <v>30000</v>
      </c>
      <c r="Q12" s="73" t="n">
        <v>30000</v>
      </c>
      <c r="R12" s="73" t="n">
        <v>30000</v>
      </c>
      <c r="S12" s="73" t="n">
        <v>30000</v>
      </c>
      <c r="T12" s="73" t="inlineStr">
        <is>
          <t>휴면</t>
        </is>
      </c>
      <c r="U12" s="73" t="n">
        <v>30000</v>
      </c>
      <c r="V12" s="73" t="n">
        <v>30000</v>
      </c>
      <c r="W12" s="73" t="n">
        <v>30000</v>
      </c>
      <c r="X12" s="73" t="n">
        <v>30000</v>
      </c>
      <c r="Y12" s="73" t="n"/>
      <c r="Z12" s="76" t="n"/>
    </row>
    <row r="13">
      <c r="A13" s="59" t="n">
        <v>9</v>
      </c>
      <c r="B13" s="94" t="inlineStr">
        <is>
          <t>최승호</t>
        </is>
      </c>
      <c r="C13" s="93">
        <f>D13*E13</f>
        <v/>
      </c>
      <c r="D13" s="93">
        <f>COUNT(E13:Z13)</f>
        <v/>
      </c>
      <c r="E13" s="93" t="n">
        <v>10000</v>
      </c>
      <c r="F13" s="93" t="n">
        <v>10000</v>
      </c>
      <c r="G13" s="93" t="n">
        <v>10000</v>
      </c>
      <c r="H13" s="93" t="n">
        <v>10000</v>
      </c>
      <c r="I13" s="93" t="n">
        <v>10000</v>
      </c>
      <c r="J13" s="93" t="n">
        <v>10000</v>
      </c>
      <c r="K13" s="93" t="n">
        <v>10000</v>
      </c>
      <c r="L13" s="93" t="n">
        <v>10000</v>
      </c>
      <c r="M13" s="93" t="n">
        <v>10000</v>
      </c>
      <c r="N13" s="93" t="n">
        <v>10000</v>
      </c>
      <c r="O13" s="93" t="n">
        <v>10000</v>
      </c>
      <c r="P13" s="93" t="n">
        <v>10000</v>
      </c>
      <c r="Q13" s="93" t="n">
        <v>10000</v>
      </c>
      <c r="R13" s="93" t="n">
        <v>10000</v>
      </c>
      <c r="S13" s="93" t="n">
        <v>10000</v>
      </c>
      <c r="T13" s="93" t="n">
        <v>10000</v>
      </c>
      <c r="U13" s="93" t="n">
        <v>10000</v>
      </c>
      <c r="V13" s="93" t="n">
        <v>10000</v>
      </c>
      <c r="W13" s="93" t="n">
        <v>10000</v>
      </c>
      <c r="X13" s="93" t="n">
        <v>10000</v>
      </c>
      <c r="Y13" s="95" t="n"/>
      <c r="Z13" s="96" t="n"/>
    </row>
    <row r="14">
      <c r="A14" s="59" t="n">
        <v>10</v>
      </c>
      <c r="B14" s="75" t="inlineStr">
        <is>
          <t>마상현</t>
        </is>
      </c>
      <c r="C14" s="73">
        <f>D14*E14</f>
        <v/>
      </c>
      <c r="D14" s="73">
        <f>COUNT(E14:Z14)</f>
        <v/>
      </c>
      <c r="E14" s="73" t="n">
        <v>30000</v>
      </c>
      <c r="F14" s="73" t="n">
        <v>30000</v>
      </c>
      <c r="G14" s="73" t="n">
        <v>30000</v>
      </c>
      <c r="H14" s="73" t="n">
        <v>30000</v>
      </c>
      <c r="I14" s="73" t="n">
        <v>30000</v>
      </c>
      <c r="J14" s="73" t="n">
        <v>30000</v>
      </c>
      <c r="K14" s="73" t="n">
        <v>30000</v>
      </c>
      <c r="L14" s="73" t="n">
        <v>30000</v>
      </c>
      <c r="M14" s="73" t="n">
        <v>30000</v>
      </c>
      <c r="N14" s="73" t="n">
        <v>30000</v>
      </c>
      <c r="O14" s="73" t="n">
        <v>30000</v>
      </c>
      <c r="P14" s="73" t="n">
        <v>30000</v>
      </c>
      <c r="Q14" s="73" t="n">
        <v>30000</v>
      </c>
      <c r="R14" s="73" t="n">
        <v>30000</v>
      </c>
      <c r="S14" s="73" t="n">
        <v>30000</v>
      </c>
      <c r="T14" s="73" t="n">
        <v>30000</v>
      </c>
      <c r="U14" s="73" t="n">
        <v>30000</v>
      </c>
      <c r="V14" s="73" t="n">
        <v>30000</v>
      </c>
      <c r="W14" s="73" t="n">
        <v>30000</v>
      </c>
      <c r="X14" s="73" t="n">
        <v>30000</v>
      </c>
      <c r="Y14" s="83" t="n"/>
      <c r="Z14" s="76" t="n"/>
    </row>
    <row r="15">
      <c r="A15" s="59" t="n">
        <v>11</v>
      </c>
      <c r="B15" s="75" t="inlineStr">
        <is>
          <t>박지원</t>
        </is>
      </c>
      <c r="C15" s="73">
        <f>D15*E15</f>
        <v/>
      </c>
      <c r="D15" s="73">
        <f>COUNT(E15:Z15)</f>
        <v/>
      </c>
      <c r="E15" s="73" t="n">
        <v>30000</v>
      </c>
      <c r="F15" s="73" t="n">
        <v>30000</v>
      </c>
      <c r="G15" s="73" t="n">
        <v>30000</v>
      </c>
      <c r="H15" s="73" t="n">
        <v>30000</v>
      </c>
      <c r="I15" s="73" t="n">
        <v>30000</v>
      </c>
      <c r="J15" s="73" t="n">
        <v>30000</v>
      </c>
      <c r="K15" s="73" t="n">
        <v>30000</v>
      </c>
      <c r="L15" s="75" t="inlineStr">
        <is>
          <t>휴면</t>
        </is>
      </c>
      <c r="M15" s="73" t="n">
        <v>30000</v>
      </c>
      <c r="N15" s="73" t="inlineStr">
        <is>
          <t>휴면</t>
        </is>
      </c>
      <c r="O15" s="73" t="n">
        <v>30000</v>
      </c>
      <c r="P15" s="73" t="inlineStr">
        <is>
          <t>휴면</t>
        </is>
      </c>
      <c r="Q15" s="73" t="n">
        <v>30000</v>
      </c>
      <c r="R15" s="73" t="n">
        <v>30000</v>
      </c>
      <c r="S15" s="73" t="n">
        <v>30000</v>
      </c>
      <c r="T15" s="73" t="n">
        <v>30000</v>
      </c>
      <c r="U15" s="73" t="n">
        <v>30000</v>
      </c>
      <c r="V15" s="73" t="n">
        <v>30000</v>
      </c>
      <c r="W15" s="73" t="n">
        <v>30000</v>
      </c>
      <c r="X15" s="73" t="n">
        <v>30000</v>
      </c>
      <c r="Y15" s="73" t="n"/>
      <c r="Z15" s="76" t="n"/>
    </row>
    <row r="16">
      <c r="A16" s="59" t="n">
        <v>12</v>
      </c>
      <c r="B16" s="75" t="inlineStr">
        <is>
          <t>신동헌</t>
        </is>
      </c>
      <c r="C16" s="73">
        <f>D16*E16</f>
        <v/>
      </c>
      <c r="D16" s="73">
        <f>COUNT(E16:Z16)</f>
        <v/>
      </c>
      <c r="E16" s="73" t="n">
        <v>30000</v>
      </c>
      <c r="F16" s="73" t="n">
        <v>30000</v>
      </c>
      <c r="G16" s="73" t="n">
        <v>30000</v>
      </c>
      <c r="H16" s="73" t="n">
        <v>30000</v>
      </c>
      <c r="I16" s="73" t="n">
        <v>30000</v>
      </c>
      <c r="J16" s="73" t="n">
        <v>30000</v>
      </c>
      <c r="K16" s="73" t="n">
        <v>30000</v>
      </c>
      <c r="L16" s="73" t="n">
        <v>30000</v>
      </c>
      <c r="M16" s="73" t="n">
        <v>30000</v>
      </c>
      <c r="N16" s="73" t="n">
        <v>30000</v>
      </c>
      <c r="O16" s="73" t="n">
        <v>30000</v>
      </c>
      <c r="P16" s="73" t="n">
        <v>30000</v>
      </c>
      <c r="Q16" s="73" t="inlineStr">
        <is>
          <t>휴면</t>
        </is>
      </c>
      <c r="R16" s="73" t="n">
        <v>30000</v>
      </c>
      <c r="S16" s="73" t="n">
        <v>30000</v>
      </c>
      <c r="T16" s="73" t="n">
        <v>30000</v>
      </c>
      <c r="U16" s="73" t="n">
        <v>30000</v>
      </c>
      <c r="V16" s="73" t="n">
        <v>30000</v>
      </c>
      <c r="W16" s="73" t="n">
        <v>30000</v>
      </c>
      <c r="X16" s="83" t="n"/>
      <c r="Y16" s="83" t="n"/>
      <c r="Z16" s="76" t="n"/>
    </row>
    <row r="17">
      <c r="A17" s="59" t="n">
        <v>13</v>
      </c>
      <c r="B17" s="75" t="inlineStr">
        <is>
          <t>임한</t>
        </is>
      </c>
      <c r="C17" s="73">
        <f>D17*E17</f>
        <v/>
      </c>
      <c r="D17" s="73">
        <f>COUNT(E17:Z17)</f>
        <v/>
      </c>
      <c r="E17" s="73" t="n">
        <v>30000</v>
      </c>
      <c r="F17" s="73" t="n">
        <v>30000</v>
      </c>
      <c r="G17" s="73" t="n">
        <v>30000</v>
      </c>
      <c r="H17" s="73" t="n">
        <v>30000</v>
      </c>
      <c r="I17" s="73" t="n">
        <v>30000</v>
      </c>
      <c r="J17" s="73" t="n">
        <v>30000</v>
      </c>
      <c r="K17" s="73" t="n">
        <v>30000</v>
      </c>
      <c r="L17" s="73" t="n">
        <v>30000</v>
      </c>
      <c r="M17" s="73" t="n">
        <v>30000</v>
      </c>
      <c r="N17" s="73" t="n">
        <v>30000</v>
      </c>
      <c r="O17" s="73" t="n">
        <v>30000</v>
      </c>
      <c r="P17" s="73" t="n">
        <v>30000</v>
      </c>
      <c r="Q17" s="73" t="n">
        <v>30000</v>
      </c>
      <c r="R17" s="73" t="n">
        <v>30000</v>
      </c>
      <c r="S17" s="73" t="n">
        <v>30000</v>
      </c>
      <c r="T17" s="73" t="n">
        <v>30000</v>
      </c>
      <c r="U17" s="73" t="n">
        <v>30000</v>
      </c>
      <c r="V17" s="73" t="n">
        <v>30000</v>
      </c>
      <c r="W17" s="73" t="n">
        <v>30000</v>
      </c>
      <c r="X17" s="73" t="n">
        <v>30000</v>
      </c>
      <c r="Y17" s="83" t="n"/>
      <c r="Z17" s="76" t="n"/>
    </row>
    <row r="18">
      <c r="A18" s="59" t="n">
        <v>14</v>
      </c>
      <c r="B18" s="132" t="inlineStr">
        <is>
          <t>이민국</t>
        </is>
      </c>
      <c r="C18" s="73">
        <f>D18*E18</f>
        <v/>
      </c>
      <c r="D18" s="73">
        <f>COUNT(E18:Z18)</f>
        <v/>
      </c>
      <c r="E18" s="73" t="n">
        <v>30000</v>
      </c>
      <c r="F18" s="73" t="n">
        <v>30000</v>
      </c>
      <c r="G18" s="73" t="n">
        <v>30000</v>
      </c>
      <c r="H18" s="73" t="n">
        <v>30000</v>
      </c>
      <c r="I18" s="73" t="inlineStr">
        <is>
          <t>부상</t>
        </is>
      </c>
      <c r="J18" s="73" t="inlineStr">
        <is>
          <t>부상</t>
        </is>
      </c>
      <c r="K18" s="73" t="n">
        <v>30000</v>
      </c>
      <c r="L18" s="73" t="n">
        <v>30000</v>
      </c>
      <c r="M18" s="73" t="n">
        <v>30000</v>
      </c>
      <c r="N18" s="73" t="n">
        <v>30000</v>
      </c>
      <c r="O18" s="73" t="n">
        <v>30000</v>
      </c>
      <c r="P18" s="73" t="n">
        <v>30000</v>
      </c>
      <c r="Q18" s="73" t="n">
        <v>30000</v>
      </c>
      <c r="R18" s="73" t="n">
        <v>30000</v>
      </c>
      <c r="S18" s="73" t="n">
        <v>30000</v>
      </c>
      <c r="T18" s="73" t="n">
        <v>30000</v>
      </c>
      <c r="U18" s="73" t="n">
        <v>30000</v>
      </c>
      <c r="V18" s="73" t="n">
        <v>30000</v>
      </c>
      <c r="W18" s="73" t="n">
        <v>30000</v>
      </c>
      <c r="X18" s="73" t="n">
        <v>30000</v>
      </c>
      <c r="Y18" s="83" t="n"/>
      <c r="Z18" s="76" t="n"/>
    </row>
    <row r="19">
      <c r="A19" s="59" t="n">
        <v>15</v>
      </c>
      <c r="B19" s="132" t="inlineStr">
        <is>
          <t>정하림</t>
        </is>
      </c>
      <c r="C19" s="73">
        <f>D19*F19</f>
        <v/>
      </c>
      <c r="D19" s="73">
        <f>COUNT(E19:Z19)</f>
        <v/>
      </c>
      <c r="E19" s="73" t="inlineStr">
        <is>
          <t>-</t>
        </is>
      </c>
      <c r="F19" s="73" t="n">
        <v>30000</v>
      </c>
      <c r="G19" s="132" t="inlineStr">
        <is>
          <t>부상</t>
        </is>
      </c>
      <c r="H19" s="73" t="n">
        <v>30000</v>
      </c>
      <c r="I19" s="73" t="n">
        <v>30000</v>
      </c>
      <c r="J19" s="73" t="n">
        <v>30000</v>
      </c>
      <c r="K19" s="73" t="n">
        <v>30000</v>
      </c>
      <c r="L19" s="73" t="n">
        <v>30000</v>
      </c>
      <c r="M19" s="73" t="n">
        <v>30000</v>
      </c>
      <c r="N19" s="73" t="n">
        <v>30000</v>
      </c>
      <c r="O19" s="73" t="n">
        <v>30000</v>
      </c>
      <c r="P19" s="73" t="n">
        <v>30000</v>
      </c>
      <c r="Q19" s="73" t="n">
        <v>30000</v>
      </c>
      <c r="R19" s="73" t="n">
        <v>30000</v>
      </c>
      <c r="S19" s="73" t="inlineStr">
        <is>
          <t>휴면</t>
        </is>
      </c>
      <c r="T19" s="73" t="inlineStr">
        <is>
          <t>휴면</t>
        </is>
      </c>
      <c r="U19" s="73" t="n">
        <v>30000</v>
      </c>
      <c r="V19" s="73" t="n">
        <v>30000</v>
      </c>
      <c r="W19" s="73" t="n">
        <v>30000</v>
      </c>
      <c r="X19" s="73" t="n"/>
      <c r="Y19" s="73" t="n"/>
      <c r="Z19" s="76" t="n"/>
    </row>
    <row r="20">
      <c r="A20" s="59" t="n">
        <v>16</v>
      </c>
      <c r="B20" s="132" t="inlineStr">
        <is>
          <t>박원주</t>
        </is>
      </c>
      <c r="C20" s="73">
        <f>D20*G20</f>
        <v/>
      </c>
      <c r="D20" s="73">
        <f>COUNT(E20:Z20)</f>
        <v/>
      </c>
      <c r="E20" s="132" t="inlineStr">
        <is>
          <t>-</t>
        </is>
      </c>
      <c r="F20" s="132" t="inlineStr">
        <is>
          <t>-</t>
        </is>
      </c>
      <c r="G20" s="79" t="n">
        <v>30000</v>
      </c>
      <c r="H20" s="79" t="n">
        <v>30000</v>
      </c>
      <c r="I20" s="73" t="n">
        <v>30000</v>
      </c>
      <c r="J20" s="73" t="n">
        <v>30000</v>
      </c>
      <c r="K20" s="73" t="n">
        <v>30000</v>
      </c>
      <c r="L20" s="73" t="n">
        <v>30000</v>
      </c>
      <c r="M20" s="73" t="n">
        <v>30000</v>
      </c>
      <c r="N20" s="73" t="n">
        <v>30000</v>
      </c>
      <c r="O20" s="73" t="n">
        <v>30000</v>
      </c>
      <c r="P20" s="73" t="n">
        <v>30000</v>
      </c>
      <c r="Q20" s="73" t="n">
        <v>30000</v>
      </c>
      <c r="R20" s="73" t="n">
        <v>30000</v>
      </c>
      <c r="S20" s="73" t="n">
        <v>30000</v>
      </c>
      <c r="T20" s="73" t="n">
        <v>30000</v>
      </c>
      <c r="U20" s="73" t="n">
        <v>30000</v>
      </c>
      <c r="V20" s="73" t="n">
        <v>30000</v>
      </c>
      <c r="W20" s="73" t="n">
        <v>30000</v>
      </c>
      <c r="X20" s="73" t="n">
        <v>30000</v>
      </c>
      <c r="Y20" s="132" t="n"/>
      <c r="Z20" s="76" t="n"/>
    </row>
    <row r="21">
      <c r="A21" s="59" t="n">
        <v>17</v>
      </c>
      <c r="B21" s="75" t="inlineStr">
        <is>
          <t>김두은</t>
        </is>
      </c>
      <c r="C21" s="73">
        <f>D21*J21</f>
        <v/>
      </c>
      <c r="D21" s="73">
        <f>COUNT(E21:Z21)</f>
        <v/>
      </c>
      <c r="E21" s="73" t="inlineStr">
        <is>
          <t>-</t>
        </is>
      </c>
      <c r="F21" s="73" t="inlineStr">
        <is>
          <t>-</t>
        </is>
      </c>
      <c r="G21" s="73" t="inlineStr">
        <is>
          <t>-</t>
        </is>
      </c>
      <c r="H21" s="73" t="inlineStr">
        <is>
          <t>-</t>
        </is>
      </c>
      <c r="I21" s="73" t="inlineStr">
        <is>
          <t>-</t>
        </is>
      </c>
      <c r="J21" s="73" t="n">
        <v>30000</v>
      </c>
      <c r="K21" s="73" t="n">
        <v>30000</v>
      </c>
      <c r="L21" s="73" t="n">
        <v>30000</v>
      </c>
      <c r="M21" s="73" t="n">
        <v>30000</v>
      </c>
      <c r="N21" s="73" t="inlineStr">
        <is>
          <t>휴면</t>
        </is>
      </c>
      <c r="O21" s="73" t="n">
        <v>30000</v>
      </c>
      <c r="P21" s="73" t="n">
        <v>30000</v>
      </c>
      <c r="Q21" s="73" t="n">
        <v>30000</v>
      </c>
      <c r="R21" s="75" t="inlineStr">
        <is>
          <t>휴면</t>
        </is>
      </c>
      <c r="S21" s="75" t="inlineStr">
        <is>
          <t>휴면</t>
        </is>
      </c>
      <c r="T21" s="73" t="n">
        <v>30000</v>
      </c>
      <c r="U21" s="75" t="inlineStr">
        <is>
          <t>휴면</t>
        </is>
      </c>
      <c r="V21" s="73" t="n">
        <v>30000</v>
      </c>
      <c r="W21" s="73" t="n">
        <v>30000</v>
      </c>
      <c r="X21" s="73" t="n">
        <v>30000</v>
      </c>
      <c r="Y21" s="73" t="n"/>
      <c r="Z21" s="81" t="n"/>
    </row>
    <row r="22">
      <c r="A22" s="59" t="n">
        <v>18</v>
      </c>
      <c r="B22" s="75" t="inlineStr">
        <is>
          <t>표승철</t>
        </is>
      </c>
      <c r="C22" s="73">
        <f>D22*K22</f>
        <v/>
      </c>
      <c r="D22" s="73">
        <f>COUNT(E22:Z22)</f>
        <v/>
      </c>
      <c r="E22" s="73" t="inlineStr">
        <is>
          <t>-</t>
        </is>
      </c>
      <c r="F22" s="73" t="inlineStr">
        <is>
          <t>-</t>
        </is>
      </c>
      <c r="G22" s="73" t="inlineStr">
        <is>
          <t>-</t>
        </is>
      </c>
      <c r="H22" s="73" t="inlineStr">
        <is>
          <t>-</t>
        </is>
      </c>
      <c r="I22" s="73" t="inlineStr">
        <is>
          <t>-</t>
        </is>
      </c>
      <c r="J22" s="73" t="inlineStr">
        <is>
          <t>-</t>
        </is>
      </c>
      <c r="K22" s="73" t="n">
        <v>30000</v>
      </c>
      <c r="L22" s="73" t="n">
        <v>30000</v>
      </c>
      <c r="M22" s="73" t="n">
        <v>30000</v>
      </c>
      <c r="N22" s="73" t="n">
        <v>30000</v>
      </c>
      <c r="O22" s="73" t="n">
        <v>30000</v>
      </c>
      <c r="P22" s="73" t="n">
        <v>30000</v>
      </c>
      <c r="Q22" s="73" t="n">
        <v>30000</v>
      </c>
      <c r="R22" s="73" t="n">
        <v>30000</v>
      </c>
      <c r="S22" s="73" t="n">
        <v>30000</v>
      </c>
      <c r="T22" s="73" t="n">
        <v>30000</v>
      </c>
      <c r="U22" s="73" t="n">
        <v>30000</v>
      </c>
      <c r="V22" s="73" t="n">
        <v>30000</v>
      </c>
      <c r="W22" s="73" t="n">
        <v>30000</v>
      </c>
      <c r="X22" s="73" t="n">
        <v>30000</v>
      </c>
      <c r="Y22" s="82" t="n"/>
      <c r="Z22" s="81" t="n"/>
    </row>
    <row r="23">
      <c r="A23" s="59" t="n">
        <v>19</v>
      </c>
      <c r="B23" s="75" t="inlineStr">
        <is>
          <t>한승재</t>
        </is>
      </c>
      <c r="C23" s="73">
        <f>D23*L23</f>
        <v/>
      </c>
      <c r="D23" s="73">
        <f>COUNT(E23:Z23)</f>
        <v/>
      </c>
      <c r="E23" s="73" t="inlineStr">
        <is>
          <t>-</t>
        </is>
      </c>
      <c r="F23" s="73" t="inlineStr">
        <is>
          <t>-</t>
        </is>
      </c>
      <c r="G23" s="73" t="inlineStr">
        <is>
          <t>-</t>
        </is>
      </c>
      <c r="H23" s="73" t="inlineStr">
        <is>
          <t>-</t>
        </is>
      </c>
      <c r="I23" s="73" t="inlineStr">
        <is>
          <t>-</t>
        </is>
      </c>
      <c r="J23" s="73" t="inlineStr">
        <is>
          <t>-</t>
        </is>
      </c>
      <c r="K23" s="73" t="inlineStr">
        <is>
          <t>-</t>
        </is>
      </c>
      <c r="L23" s="73" t="n">
        <v>30000</v>
      </c>
      <c r="M23" s="73" t="n">
        <v>30000</v>
      </c>
      <c r="N23" s="73" t="n">
        <v>30000</v>
      </c>
      <c r="O23" s="73" t="n">
        <v>30000</v>
      </c>
      <c r="P23" s="73" t="inlineStr">
        <is>
          <t>부상</t>
        </is>
      </c>
      <c r="Q23" s="73" t="inlineStr">
        <is>
          <t>휴면</t>
        </is>
      </c>
      <c r="R23" s="73" t="n">
        <v>30000</v>
      </c>
      <c r="S23" s="73" t="inlineStr">
        <is>
          <t>휴면</t>
        </is>
      </c>
      <c r="T23" s="73" t="inlineStr">
        <is>
          <t>휴면</t>
        </is>
      </c>
      <c r="U23" s="73" t="inlineStr">
        <is>
          <t>휴면</t>
        </is>
      </c>
      <c r="V23" s="73" t="n">
        <v>30000</v>
      </c>
      <c r="W23" s="73" t="n">
        <v>30000</v>
      </c>
      <c r="X23" s="73" t="n">
        <v>30000</v>
      </c>
      <c r="Y23" s="83" t="n"/>
      <c r="Z23" s="76" t="n"/>
    </row>
    <row r="24">
      <c r="A24" s="59" t="n">
        <v>20</v>
      </c>
      <c r="B24" s="75" t="inlineStr">
        <is>
          <t>도민환</t>
        </is>
      </c>
      <c r="C24" s="73">
        <f>D24*L24</f>
        <v/>
      </c>
      <c r="D24" s="73">
        <f>COUNT(E24:Z24)</f>
        <v/>
      </c>
      <c r="E24" s="73" t="inlineStr">
        <is>
          <t>-</t>
        </is>
      </c>
      <c r="F24" s="73" t="inlineStr">
        <is>
          <t>-</t>
        </is>
      </c>
      <c r="G24" s="73" t="inlineStr">
        <is>
          <t>-</t>
        </is>
      </c>
      <c r="H24" s="73" t="inlineStr">
        <is>
          <t>-</t>
        </is>
      </c>
      <c r="I24" s="73" t="inlineStr">
        <is>
          <t>-</t>
        </is>
      </c>
      <c r="J24" s="73" t="inlineStr">
        <is>
          <t>-</t>
        </is>
      </c>
      <c r="K24" s="73" t="inlineStr">
        <is>
          <t>-</t>
        </is>
      </c>
      <c r="L24" s="73" t="n">
        <v>30000</v>
      </c>
      <c r="M24" s="73" t="n">
        <v>30000</v>
      </c>
      <c r="N24" s="73" t="n">
        <v>30000</v>
      </c>
      <c r="O24" s="73" t="inlineStr">
        <is>
          <t>휴면</t>
        </is>
      </c>
      <c r="P24" s="73" t="n">
        <v>30000</v>
      </c>
      <c r="Q24" s="75" t="inlineStr">
        <is>
          <t>휴면</t>
        </is>
      </c>
      <c r="R24" s="75" t="inlineStr">
        <is>
          <t>휴면</t>
        </is>
      </c>
      <c r="S24" s="73" t="inlineStr">
        <is>
          <t>휴면</t>
        </is>
      </c>
      <c r="T24" s="73" t="inlineStr">
        <is>
          <t>휴면</t>
        </is>
      </c>
      <c r="U24" s="73" t="n">
        <v>30000</v>
      </c>
      <c r="V24" s="73" t="inlineStr">
        <is>
          <t>휴면</t>
        </is>
      </c>
      <c r="W24" s="73" t="inlineStr">
        <is>
          <t>휴면</t>
        </is>
      </c>
      <c r="X24" s="75" t="n"/>
      <c r="Y24" s="75" t="n"/>
      <c r="Z24" s="76" t="n"/>
    </row>
    <row r="25">
      <c r="A25" s="59" t="n">
        <v>21</v>
      </c>
      <c r="B25" s="75" t="inlineStr">
        <is>
          <t>안재영</t>
        </is>
      </c>
      <c r="C25" s="73">
        <f>D25*J25</f>
        <v/>
      </c>
      <c r="D25" s="73">
        <f>COUNT(E25:Z25)</f>
        <v/>
      </c>
      <c r="E25" s="73" t="inlineStr">
        <is>
          <t>-</t>
        </is>
      </c>
      <c r="F25" s="73" t="inlineStr">
        <is>
          <t>-</t>
        </is>
      </c>
      <c r="G25" s="73" t="inlineStr">
        <is>
          <t>-</t>
        </is>
      </c>
      <c r="H25" s="73" t="inlineStr">
        <is>
          <t>-</t>
        </is>
      </c>
      <c r="I25" s="73" t="inlineStr">
        <is>
          <t>-</t>
        </is>
      </c>
      <c r="J25" s="73" t="n">
        <v>30000</v>
      </c>
      <c r="K25" s="73" t="n">
        <v>30000</v>
      </c>
      <c r="L25" s="73" t="n">
        <v>30000</v>
      </c>
      <c r="M25" s="75" t="inlineStr">
        <is>
          <t>탈퇴</t>
        </is>
      </c>
      <c r="N25" s="73" t="n">
        <v>30000</v>
      </c>
      <c r="O25" s="73" t="n">
        <v>30000</v>
      </c>
      <c r="P25" s="73" t="n">
        <v>30000</v>
      </c>
      <c r="Q25" s="73" t="n">
        <v>30000</v>
      </c>
      <c r="R25" s="73" t="n">
        <v>30000</v>
      </c>
      <c r="S25" s="73" t="n">
        <v>30000</v>
      </c>
      <c r="T25" s="73" t="n">
        <v>30000</v>
      </c>
      <c r="U25" s="73" t="n">
        <v>30000</v>
      </c>
      <c r="V25" s="73" t="n">
        <v>30000</v>
      </c>
      <c r="W25" s="73" t="inlineStr">
        <is>
          <t>휴면</t>
        </is>
      </c>
      <c r="X25" s="73" t="n">
        <v>30000</v>
      </c>
      <c r="Y25" s="82" t="n"/>
      <c r="Z25" s="81" t="n"/>
    </row>
    <row r="26">
      <c r="A26" s="59" t="n">
        <v>22</v>
      </c>
      <c r="B26" s="75" t="inlineStr">
        <is>
          <t>조수경</t>
        </is>
      </c>
      <c r="C26" s="73">
        <f>D26*N26</f>
        <v/>
      </c>
      <c r="D26" s="73">
        <f>COUNT(E26:Z26)</f>
        <v/>
      </c>
      <c r="E26" s="73" t="inlineStr">
        <is>
          <t>-</t>
        </is>
      </c>
      <c r="F26" s="73" t="inlineStr">
        <is>
          <t>-</t>
        </is>
      </c>
      <c r="G26" s="73" t="inlineStr">
        <is>
          <t>-</t>
        </is>
      </c>
      <c r="H26" s="73" t="inlineStr">
        <is>
          <t>-</t>
        </is>
      </c>
      <c r="I26" s="73" t="inlineStr">
        <is>
          <t>-</t>
        </is>
      </c>
      <c r="J26" s="73" t="inlineStr">
        <is>
          <t>-</t>
        </is>
      </c>
      <c r="K26" s="73" t="inlineStr">
        <is>
          <t>-</t>
        </is>
      </c>
      <c r="L26" s="73" t="inlineStr">
        <is>
          <t>-</t>
        </is>
      </c>
      <c r="M26" s="73" t="inlineStr">
        <is>
          <t>-</t>
        </is>
      </c>
      <c r="N26" s="73" t="n">
        <v>30000</v>
      </c>
      <c r="O26" s="73" t="n">
        <v>30000</v>
      </c>
      <c r="P26" s="73" t="inlineStr">
        <is>
          <t>휴면</t>
        </is>
      </c>
      <c r="Q26" s="73" t="n">
        <v>30000</v>
      </c>
      <c r="R26" s="73" t="n">
        <v>30000</v>
      </c>
      <c r="S26" s="73" t="inlineStr">
        <is>
          <t>휴면</t>
        </is>
      </c>
      <c r="T26" s="73" t="inlineStr">
        <is>
          <t>휴면</t>
        </is>
      </c>
      <c r="U26" s="73" t="inlineStr">
        <is>
          <t>휴면</t>
        </is>
      </c>
      <c r="V26" s="73" t="n">
        <v>30000</v>
      </c>
      <c r="W26" s="73" t="inlineStr">
        <is>
          <t>휴면</t>
        </is>
      </c>
      <c r="X26" s="73" t="inlineStr">
        <is>
          <t>휴면</t>
        </is>
      </c>
      <c r="Y26" s="83" t="n"/>
      <c r="Z26" s="76" t="n"/>
    </row>
    <row r="27">
      <c r="A27" s="59" t="n">
        <v>23</v>
      </c>
      <c r="B27" s="75" t="inlineStr">
        <is>
          <t>브루노</t>
        </is>
      </c>
      <c r="C27" s="73">
        <f>D27*N27</f>
        <v/>
      </c>
      <c r="D27" s="73">
        <f>COUNT(E27:Z27)</f>
        <v/>
      </c>
      <c r="E27" s="73" t="inlineStr">
        <is>
          <t>-</t>
        </is>
      </c>
      <c r="F27" s="73" t="inlineStr">
        <is>
          <t>-</t>
        </is>
      </c>
      <c r="G27" s="73" t="inlineStr">
        <is>
          <t>-</t>
        </is>
      </c>
      <c r="H27" s="73" t="inlineStr">
        <is>
          <t>-</t>
        </is>
      </c>
      <c r="I27" s="73" t="inlineStr">
        <is>
          <t>-</t>
        </is>
      </c>
      <c r="J27" s="73" t="inlineStr">
        <is>
          <t>-</t>
        </is>
      </c>
      <c r="K27" s="73" t="inlineStr">
        <is>
          <t>-</t>
        </is>
      </c>
      <c r="L27" s="73" t="inlineStr">
        <is>
          <t>-</t>
        </is>
      </c>
      <c r="M27" s="73" t="inlineStr">
        <is>
          <t>-</t>
        </is>
      </c>
      <c r="N27" s="73" t="n">
        <v>30000</v>
      </c>
      <c r="O27" s="73" t="n">
        <v>30000</v>
      </c>
      <c r="P27" s="73" t="n">
        <v>30000</v>
      </c>
      <c r="Q27" s="73" t="n">
        <v>30000</v>
      </c>
      <c r="R27" s="73" t="n">
        <v>30000</v>
      </c>
      <c r="S27" s="73" t="n">
        <v>30000</v>
      </c>
      <c r="T27" s="73" t="n">
        <v>30000</v>
      </c>
      <c r="U27" s="73" t="n">
        <v>30000</v>
      </c>
      <c r="V27" s="73" t="n">
        <v>30000</v>
      </c>
      <c r="W27" s="73" t="n">
        <v>30000</v>
      </c>
      <c r="X27" s="83" t="n"/>
      <c r="Y27" s="83" t="n"/>
      <c r="Z27" s="76" t="n"/>
    </row>
    <row r="28">
      <c r="A28" s="59" t="n">
        <v>24</v>
      </c>
      <c r="B28" s="75" t="inlineStr">
        <is>
          <t>박우성</t>
        </is>
      </c>
      <c r="C28" s="73">
        <f>D28*E28</f>
        <v/>
      </c>
      <c r="D28" s="73">
        <f>COUNT(E28:Z28)</f>
        <v/>
      </c>
      <c r="E28" s="73" t="n">
        <v>30000</v>
      </c>
      <c r="F28" s="132" t="inlineStr">
        <is>
          <t>부상</t>
        </is>
      </c>
      <c r="G28" s="132" t="inlineStr">
        <is>
          <t>부상</t>
        </is>
      </c>
      <c r="H28" s="73" t="n">
        <v>30000</v>
      </c>
      <c r="I28" s="73" t="n">
        <v>30000</v>
      </c>
      <c r="J28" s="73" t="n">
        <v>30000</v>
      </c>
      <c r="K28" s="73" t="inlineStr">
        <is>
          <t>탈퇴</t>
        </is>
      </c>
      <c r="L28" s="73" t="inlineStr">
        <is>
          <t>탈퇴</t>
        </is>
      </c>
      <c r="M28" s="73" t="inlineStr">
        <is>
          <t>탈퇴</t>
        </is>
      </c>
      <c r="N28" s="73" t="inlineStr">
        <is>
          <t>탈퇴</t>
        </is>
      </c>
      <c r="O28" s="73" t="n">
        <v>30000</v>
      </c>
      <c r="P28" s="73" t="n">
        <v>30000</v>
      </c>
      <c r="Q28" s="73" t="n">
        <v>30000</v>
      </c>
      <c r="R28" s="73" t="n">
        <v>30000</v>
      </c>
      <c r="S28" s="73" t="n">
        <v>30000</v>
      </c>
      <c r="T28" s="73" t="n">
        <v>30000</v>
      </c>
      <c r="U28" s="73" t="n">
        <v>30000</v>
      </c>
      <c r="V28" s="73" t="n">
        <v>30000</v>
      </c>
      <c r="W28" s="73" t="inlineStr">
        <is>
          <t>휴면</t>
        </is>
      </c>
      <c r="X28" s="73" t="n">
        <v>30000</v>
      </c>
      <c r="Y28" s="82" t="n"/>
      <c r="Z28" s="81" t="n"/>
    </row>
    <row r="29">
      <c r="A29" s="59" t="n">
        <v>25</v>
      </c>
      <c r="B29" s="75" t="inlineStr">
        <is>
          <t>조은애</t>
        </is>
      </c>
      <c r="C29" s="73">
        <f>D29*O29</f>
        <v/>
      </c>
      <c r="D29" s="73">
        <f>COUNT(E29:Z29)</f>
        <v/>
      </c>
      <c r="E29" s="73" t="inlineStr">
        <is>
          <t>-</t>
        </is>
      </c>
      <c r="F29" s="73" t="inlineStr">
        <is>
          <t>-</t>
        </is>
      </c>
      <c r="G29" s="73" t="inlineStr">
        <is>
          <t>-</t>
        </is>
      </c>
      <c r="H29" s="73" t="inlineStr">
        <is>
          <t>-</t>
        </is>
      </c>
      <c r="I29" s="73" t="inlineStr">
        <is>
          <t>-</t>
        </is>
      </c>
      <c r="J29" s="73" t="inlineStr">
        <is>
          <t>-</t>
        </is>
      </c>
      <c r="K29" s="73" t="inlineStr">
        <is>
          <t>-</t>
        </is>
      </c>
      <c r="L29" s="73" t="inlineStr">
        <is>
          <t>-</t>
        </is>
      </c>
      <c r="M29" s="73" t="inlineStr">
        <is>
          <t>-</t>
        </is>
      </c>
      <c r="N29" s="73" t="inlineStr">
        <is>
          <t>-</t>
        </is>
      </c>
      <c r="O29" s="93" t="n">
        <v>10000</v>
      </c>
      <c r="P29" s="93" t="n">
        <v>10000</v>
      </c>
      <c r="Q29" s="93" t="n">
        <v>10000</v>
      </c>
      <c r="R29" s="75" t="inlineStr">
        <is>
          <t>휴면</t>
        </is>
      </c>
      <c r="S29" s="93" t="n">
        <v>10000</v>
      </c>
      <c r="T29" s="93" t="n">
        <v>10000</v>
      </c>
      <c r="U29" s="93" t="n">
        <v>10000</v>
      </c>
      <c r="V29" s="93" t="n">
        <v>10000</v>
      </c>
      <c r="W29" s="93" t="n">
        <v>10000</v>
      </c>
      <c r="X29" s="83" t="n"/>
      <c r="Y29" s="83" t="n"/>
      <c r="Z29" s="76" t="n"/>
    </row>
    <row r="30">
      <c r="A30" s="59" t="n">
        <v>26</v>
      </c>
      <c r="B30" s="75" t="inlineStr">
        <is>
          <t>함지상</t>
        </is>
      </c>
      <c r="C30" s="73">
        <f>D30*O30</f>
        <v/>
      </c>
      <c r="D30" s="73">
        <f>COUNT(E30:Z30)</f>
        <v/>
      </c>
      <c r="E30" s="73" t="inlineStr">
        <is>
          <t>-</t>
        </is>
      </c>
      <c r="F30" s="73" t="inlineStr">
        <is>
          <t>-</t>
        </is>
      </c>
      <c r="G30" s="73" t="inlineStr">
        <is>
          <t>-</t>
        </is>
      </c>
      <c r="H30" s="73" t="inlineStr">
        <is>
          <t>-</t>
        </is>
      </c>
      <c r="I30" s="73" t="inlineStr">
        <is>
          <t>-</t>
        </is>
      </c>
      <c r="J30" s="73" t="inlineStr">
        <is>
          <t>-</t>
        </is>
      </c>
      <c r="K30" s="73" t="inlineStr">
        <is>
          <t>-</t>
        </is>
      </c>
      <c r="L30" s="73" t="inlineStr">
        <is>
          <t>-</t>
        </is>
      </c>
      <c r="M30" s="73" t="inlineStr">
        <is>
          <t>-</t>
        </is>
      </c>
      <c r="N30" s="73" t="inlineStr">
        <is>
          <t>-</t>
        </is>
      </c>
      <c r="O30" s="93" t="n">
        <v>30000</v>
      </c>
      <c r="P30" s="93" t="n">
        <v>30000</v>
      </c>
      <c r="Q30" s="93" t="n">
        <v>30000</v>
      </c>
      <c r="R30" s="73" t="inlineStr">
        <is>
          <t>부상</t>
        </is>
      </c>
      <c r="S30" s="73" t="inlineStr">
        <is>
          <t>부상</t>
        </is>
      </c>
      <c r="T30" s="73" t="inlineStr">
        <is>
          <t>부상</t>
        </is>
      </c>
      <c r="U30" s="73" t="inlineStr">
        <is>
          <t>부상</t>
        </is>
      </c>
      <c r="V30" s="73" t="inlineStr">
        <is>
          <t>부상</t>
        </is>
      </c>
      <c r="W30" s="73" t="inlineStr">
        <is>
          <t>부상</t>
        </is>
      </c>
      <c r="X30" s="73" t="inlineStr">
        <is>
          <t>부상</t>
        </is>
      </c>
      <c r="Y30" s="82" t="n"/>
      <c r="Z30" s="81" t="n"/>
    </row>
    <row r="31">
      <c r="A31" s="59" t="n">
        <v>27</v>
      </c>
      <c r="B31" s="75" t="inlineStr">
        <is>
          <t>조수연</t>
        </is>
      </c>
      <c r="C31" s="73">
        <f>D31*O31</f>
        <v/>
      </c>
      <c r="D31" s="73">
        <f>COUNT(E31:Z31)</f>
        <v/>
      </c>
      <c r="E31" s="73" t="inlineStr">
        <is>
          <t>-</t>
        </is>
      </c>
      <c r="F31" s="73" t="inlineStr">
        <is>
          <t>-</t>
        </is>
      </c>
      <c r="G31" s="73" t="inlineStr">
        <is>
          <t>-</t>
        </is>
      </c>
      <c r="H31" s="73" t="inlineStr">
        <is>
          <t>-</t>
        </is>
      </c>
      <c r="I31" s="73" t="inlineStr">
        <is>
          <t>-</t>
        </is>
      </c>
      <c r="J31" s="73" t="inlineStr">
        <is>
          <t>-</t>
        </is>
      </c>
      <c r="K31" s="73" t="inlineStr">
        <is>
          <t>-</t>
        </is>
      </c>
      <c r="L31" s="73" t="inlineStr">
        <is>
          <t>-</t>
        </is>
      </c>
      <c r="M31" s="73" t="inlineStr">
        <is>
          <t>-</t>
        </is>
      </c>
      <c r="N31" s="73" t="inlineStr">
        <is>
          <t>-</t>
        </is>
      </c>
      <c r="O31" s="93" t="n">
        <v>30000</v>
      </c>
      <c r="P31" s="93" t="n">
        <v>30000</v>
      </c>
      <c r="Q31" s="93" t="n">
        <v>30000</v>
      </c>
      <c r="R31" s="93" t="n">
        <v>30000</v>
      </c>
      <c r="S31" s="93" t="n">
        <v>30000</v>
      </c>
      <c r="T31" s="93" t="n">
        <v>30000</v>
      </c>
      <c r="U31" s="93" t="n">
        <v>30000</v>
      </c>
      <c r="V31" s="93" t="n">
        <v>30000</v>
      </c>
      <c r="W31" s="93" t="n">
        <v>30000</v>
      </c>
      <c r="X31" s="93" t="n">
        <v>30000</v>
      </c>
      <c r="Y31" s="82" t="n"/>
      <c r="Z31" s="81" t="n"/>
    </row>
    <row r="32">
      <c r="A32" s="59" t="n">
        <v>28</v>
      </c>
      <c r="B32" s="75" t="inlineStr">
        <is>
          <t>한재욱</t>
        </is>
      </c>
      <c r="C32" s="73">
        <f>D32*P32</f>
        <v/>
      </c>
      <c r="D32" s="73">
        <f>COUNT(E32:Z32)</f>
        <v/>
      </c>
      <c r="E32" s="73" t="inlineStr">
        <is>
          <t>-</t>
        </is>
      </c>
      <c r="F32" s="73" t="inlineStr">
        <is>
          <t>-</t>
        </is>
      </c>
      <c r="G32" s="73" t="inlineStr">
        <is>
          <t>-</t>
        </is>
      </c>
      <c r="H32" s="73" t="inlineStr">
        <is>
          <t>-</t>
        </is>
      </c>
      <c r="I32" s="73" t="inlineStr">
        <is>
          <t>-</t>
        </is>
      </c>
      <c r="J32" s="73" t="inlineStr">
        <is>
          <t>-</t>
        </is>
      </c>
      <c r="K32" s="73" t="inlineStr">
        <is>
          <t>-</t>
        </is>
      </c>
      <c r="L32" s="73" t="inlineStr">
        <is>
          <t>-</t>
        </is>
      </c>
      <c r="M32" s="73" t="inlineStr">
        <is>
          <t>-</t>
        </is>
      </c>
      <c r="N32" s="73" t="inlineStr">
        <is>
          <t>-</t>
        </is>
      </c>
      <c r="O32" s="73" t="inlineStr">
        <is>
          <t>-</t>
        </is>
      </c>
      <c r="P32" s="93" t="n">
        <v>30000</v>
      </c>
      <c r="Q32" s="93" t="n">
        <v>30000</v>
      </c>
      <c r="R32" s="93" t="n">
        <v>30000</v>
      </c>
      <c r="S32" s="93" t="n">
        <v>30000</v>
      </c>
      <c r="T32" s="93" t="n">
        <v>30000</v>
      </c>
      <c r="U32" s="93" t="n">
        <v>30000</v>
      </c>
      <c r="V32" s="93" t="n">
        <v>30000</v>
      </c>
      <c r="W32" s="93" t="n">
        <v>30000</v>
      </c>
      <c r="X32" s="93" t="n">
        <v>30000</v>
      </c>
      <c r="Y32" s="82" t="n"/>
      <c r="Z32" s="81" t="n"/>
    </row>
    <row r="33">
      <c r="A33" s="59" t="n">
        <v>29</v>
      </c>
      <c r="B33" s="75" t="inlineStr">
        <is>
          <t>정은용</t>
        </is>
      </c>
      <c r="C33" s="73">
        <f>D33*Q33</f>
        <v/>
      </c>
      <c r="D33" s="73">
        <f>COUNT(E33:Z33)</f>
        <v/>
      </c>
      <c r="E33" s="73" t="inlineStr">
        <is>
          <t>-</t>
        </is>
      </c>
      <c r="F33" s="73" t="inlineStr">
        <is>
          <t>-</t>
        </is>
      </c>
      <c r="G33" s="73" t="inlineStr">
        <is>
          <t>-</t>
        </is>
      </c>
      <c r="H33" s="73" t="inlineStr">
        <is>
          <t>-</t>
        </is>
      </c>
      <c r="I33" s="73" t="inlineStr">
        <is>
          <t>-</t>
        </is>
      </c>
      <c r="J33" s="73" t="inlineStr">
        <is>
          <t>-</t>
        </is>
      </c>
      <c r="K33" s="73" t="inlineStr">
        <is>
          <t>-</t>
        </is>
      </c>
      <c r="L33" s="73" t="inlineStr">
        <is>
          <t>-</t>
        </is>
      </c>
      <c r="M33" s="73" t="inlineStr">
        <is>
          <t>-</t>
        </is>
      </c>
      <c r="N33" s="73" t="inlineStr">
        <is>
          <t>-</t>
        </is>
      </c>
      <c r="O33" s="73" t="inlineStr">
        <is>
          <t>-</t>
        </is>
      </c>
      <c r="P33" s="93" t="inlineStr">
        <is>
          <t>-</t>
        </is>
      </c>
      <c r="Q33" s="93" t="n">
        <v>30000</v>
      </c>
      <c r="R33" s="93" t="n">
        <v>30000</v>
      </c>
      <c r="S33" s="75" t="inlineStr">
        <is>
          <t>휴면</t>
        </is>
      </c>
      <c r="T33" s="75" t="inlineStr">
        <is>
          <t>휴면</t>
        </is>
      </c>
      <c r="U33" s="75" t="inlineStr">
        <is>
          <t>휴면</t>
        </is>
      </c>
      <c r="V33" s="93" t="n">
        <v>30000</v>
      </c>
      <c r="W33" s="93" t="n">
        <v>30000</v>
      </c>
      <c r="X33" s="82" t="n"/>
      <c r="Y33" s="82" t="n"/>
      <c r="Z33" s="81" t="n"/>
    </row>
    <row r="34">
      <c r="A34" s="115" t="n">
        <v>30</v>
      </c>
      <c r="B34" s="85" t="inlineStr">
        <is>
          <t>박광우</t>
        </is>
      </c>
      <c r="C34" s="87">
        <f>D34*I34</f>
        <v/>
      </c>
      <c r="D34" s="87">
        <f>COUNT(E34:Z34)</f>
        <v/>
      </c>
      <c r="E34" s="87" t="inlineStr">
        <is>
          <t>-</t>
        </is>
      </c>
      <c r="F34" s="87" t="inlineStr">
        <is>
          <t>-</t>
        </is>
      </c>
      <c r="G34" s="87" t="inlineStr">
        <is>
          <t>-</t>
        </is>
      </c>
      <c r="H34" s="87" t="inlineStr">
        <is>
          <t>-</t>
        </is>
      </c>
      <c r="I34" s="87" t="n">
        <v>30000</v>
      </c>
      <c r="J34" s="87" t="n">
        <v>30000</v>
      </c>
      <c r="K34" s="87" t="inlineStr">
        <is>
          <t>탈퇴</t>
        </is>
      </c>
      <c r="L34" s="87" t="inlineStr">
        <is>
          <t>탈퇴</t>
        </is>
      </c>
      <c r="M34" s="87" t="inlineStr">
        <is>
          <t>탈퇴</t>
        </is>
      </c>
      <c r="N34" s="87" t="inlineStr">
        <is>
          <t>탈퇴</t>
        </is>
      </c>
      <c r="O34" s="87" t="inlineStr">
        <is>
          <t>탈퇴</t>
        </is>
      </c>
      <c r="P34" s="87" t="inlineStr">
        <is>
          <t>탈퇴</t>
        </is>
      </c>
      <c r="Q34" s="87" t="inlineStr">
        <is>
          <t>탈퇴</t>
        </is>
      </c>
      <c r="R34" s="87" t="inlineStr">
        <is>
          <t>탈퇴</t>
        </is>
      </c>
      <c r="S34" s="87" t="inlineStr">
        <is>
          <t>탈퇴</t>
        </is>
      </c>
      <c r="T34" s="87" t="n">
        <v>30000</v>
      </c>
      <c r="U34" s="87" t="n">
        <v>30000</v>
      </c>
      <c r="V34" s="87" t="n">
        <v>30000</v>
      </c>
      <c r="W34" s="87" t="n">
        <v>30000</v>
      </c>
      <c r="X34" s="87" t="n">
        <v>30000</v>
      </c>
      <c r="Y34" s="88" t="n"/>
      <c r="Z34" s="89" t="n"/>
    </row>
    <row r="35">
      <c r="A35" s="90" t="n">
        <v>31</v>
      </c>
      <c r="B35" s="94" t="inlineStr">
        <is>
          <t>이일웅</t>
        </is>
      </c>
      <c r="C35" s="93">
        <f>D35*E35</f>
        <v/>
      </c>
      <c r="D35" s="93">
        <f>COUNT(E35:Z35)</f>
        <v/>
      </c>
      <c r="E35" s="93" t="n">
        <v>30000</v>
      </c>
      <c r="F35" s="93" t="n">
        <v>30000</v>
      </c>
      <c r="G35" s="93" t="n">
        <v>30000</v>
      </c>
      <c r="H35" s="93" t="n">
        <v>30000</v>
      </c>
      <c r="I35" s="93" t="n">
        <v>30000</v>
      </c>
      <c r="J35" s="93" t="n">
        <v>30000</v>
      </c>
      <c r="K35" s="94" t="inlineStr">
        <is>
          <t>탈퇴</t>
        </is>
      </c>
      <c r="L35" s="94" t="inlineStr">
        <is>
          <t>탈퇴</t>
        </is>
      </c>
      <c r="M35" s="94" t="inlineStr">
        <is>
          <t>탈퇴</t>
        </is>
      </c>
      <c r="N35" s="94" t="inlineStr">
        <is>
          <t>탈퇴</t>
        </is>
      </c>
      <c r="O35" s="94" t="inlineStr">
        <is>
          <t>탈퇴</t>
        </is>
      </c>
      <c r="P35" s="94" t="inlineStr">
        <is>
          <t>탈퇴</t>
        </is>
      </c>
      <c r="Q35" s="94" t="inlineStr">
        <is>
          <t>탈퇴</t>
        </is>
      </c>
      <c r="R35" s="94" t="inlineStr">
        <is>
          <t>탈퇴</t>
        </is>
      </c>
      <c r="S35" s="94" t="inlineStr">
        <is>
          <t>탈퇴</t>
        </is>
      </c>
      <c r="T35" s="93" t="n">
        <v>30000</v>
      </c>
      <c r="U35" s="93" t="n">
        <v>30000</v>
      </c>
      <c r="V35" s="93" t="n">
        <v>30000</v>
      </c>
      <c r="W35" s="93" t="n">
        <v>30000</v>
      </c>
      <c r="X35" s="93" t="n">
        <v>30000</v>
      </c>
      <c r="Y35" s="95" t="n"/>
      <c r="Z35" s="96" t="n"/>
    </row>
    <row r="36">
      <c r="A36" s="112" t="n">
        <v>32</v>
      </c>
      <c r="B36" s="118" t="inlineStr">
        <is>
          <t>허은혜</t>
        </is>
      </c>
      <c r="C36" s="99">
        <f>D36*U36</f>
        <v/>
      </c>
      <c r="D36" s="99">
        <f>COUNT(E36:Z36)</f>
        <v/>
      </c>
      <c r="E36" s="99" t="inlineStr">
        <is>
          <t>-</t>
        </is>
      </c>
      <c r="F36" s="99" t="inlineStr">
        <is>
          <t>-</t>
        </is>
      </c>
      <c r="G36" s="99" t="inlineStr">
        <is>
          <t>-</t>
        </is>
      </c>
      <c r="H36" s="99" t="inlineStr">
        <is>
          <t>-</t>
        </is>
      </c>
      <c r="I36" s="99" t="inlineStr">
        <is>
          <t>-</t>
        </is>
      </c>
      <c r="J36" s="99" t="inlineStr">
        <is>
          <t>-</t>
        </is>
      </c>
      <c r="K36" s="99" t="inlineStr">
        <is>
          <t>-</t>
        </is>
      </c>
      <c r="L36" s="99" t="inlineStr">
        <is>
          <t>-</t>
        </is>
      </c>
      <c r="M36" s="99" t="inlineStr">
        <is>
          <t>-</t>
        </is>
      </c>
      <c r="N36" s="99" t="inlineStr">
        <is>
          <t>-</t>
        </is>
      </c>
      <c r="O36" s="99" t="inlineStr">
        <is>
          <t>-</t>
        </is>
      </c>
      <c r="P36" s="99" t="inlineStr">
        <is>
          <t>-</t>
        </is>
      </c>
      <c r="Q36" s="99" t="inlineStr">
        <is>
          <t>-</t>
        </is>
      </c>
      <c r="R36" s="99" t="inlineStr">
        <is>
          <t>-</t>
        </is>
      </c>
      <c r="S36" s="99" t="inlineStr">
        <is>
          <t>-</t>
        </is>
      </c>
      <c r="T36" s="99" t="inlineStr">
        <is>
          <t>-</t>
        </is>
      </c>
      <c r="U36" s="99" t="n">
        <v>30000</v>
      </c>
      <c r="V36" s="99" t="n">
        <v>30000</v>
      </c>
      <c r="W36" s="99" t="n">
        <v>30000</v>
      </c>
      <c r="X36" s="100" t="n"/>
      <c r="Y36" s="100" t="n"/>
      <c r="Z36" s="101" t="n"/>
    </row>
    <row r="37">
      <c r="A37" s="59" t="n">
        <v>33</v>
      </c>
      <c r="B37" s="102" t="inlineStr">
        <is>
          <t>심소른</t>
        </is>
      </c>
      <c r="C37" s="62">
        <f>D37*V37</f>
        <v/>
      </c>
      <c r="D37" s="62">
        <f>COUNT(E37:Z37)</f>
        <v/>
      </c>
      <c r="E37" s="62" t="inlineStr">
        <is>
          <t>-</t>
        </is>
      </c>
      <c r="F37" s="62" t="inlineStr">
        <is>
          <t>-</t>
        </is>
      </c>
      <c r="G37" s="62" t="inlineStr">
        <is>
          <t>-</t>
        </is>
      </c>
      <c r="H37" s="62" t="inlineStr">
        <is>
          <t>-</t>
        </is>
      </c>
      <c r="I37" s="62" t="inlineStr">
        <is>
          <t>-</t>
        </is>
      </c>
      <c r="J37" s="62" t="inlineStr">
        <is>
          <t>-</t>
        </is>
      </c>
      <c r="K37" s="62" t="inlineStr">
        <is>
          <t>-</t>
        </is>
      </c>
      <c r="L37" s="62" t="inlineStr">
        <is>
          <t>-</t>
        </is>
      </c>
      <c r="M37" s="62" t="inlineStr">
        <is>
          <t>-</t>
        </is>
      </c>
      <c r="N37" s="62" t="inlineStr">
        <is>
          <t>-</t>
        </is>
      </c>
      <c r="O37" s="62" t="inlineStr">
        <is>
          <t>-</t>
        </is>
      </c>
      <c r="P37" s="62" t="inlineStr">
        <is>
          <t>-</t>
        </is>
      </c>
      <c r="Q37" s="62" t="inlineStr">
        <is>
          <t>-</t>
        </is>
      </c>
      <c r="R37" s="62" t="inlineStr">
        <is>
          <t>-</t>
        </is>
      </c>
      <c r="S37" s="62" t="inlineStr">
        <is>
          <t>-</t>
        </is>
      </c>
      <c r="T37" s="62" t="inlineStr">
        <is>
          <t>-</t>
        </is>
      </c>
      <c r="U37" s="62" t="inlineStr">
        <is>
          <t>-</t>
        </is>
      </c>
      <c r="V37" s="62" t="n">
        <v>30000</v>
      </c>
      <c r="W37" s="62" t="n">
        <v>30000</v>
      </c>
      <c r="X37" s="62" t="n">
        <v>30000</v>
      </c>
      <c r="Y37" s="103" t="n"/>
      <c r="Z37" s="104" t="n"/>
    </row>
    <row r="38">
      <c r="A38" s="112" t="n">
        <v>34</v>
      </c>
      <c r="B38" s="118" t="inlineStr">
        <is>
          <t>김균원</t>
        </is>
      </c>
      <c r="C38" s="99">
        <f>D38*E38</f>
        <v/>
      </c>
      <c r="D38" s="99">
        <f>COUNT(E38:Z38)</f>
        <v/>
      </c>
      <c r="E38" s="99" t="n">
        <v>30000</v>
      </c>
      <c r="F38" s="99" t="n">
        <v>30000</v>
      </c>
      <c r="G38" s="99" t="n">
        <v>30000</v>
      </c>
      <c r="H38" s="99" t="n">
        <v>30000</v>
      </c>
      <c r="I38" s="118" t="inlineStr">
        <is>
          <t>휴면</t>
        </is>
      </c>
      <c r="J38" s="99" t="n">
        <v>30000</v>
      </c>
      <c r="K38" s="118" t="inlineStr">
        <is>
          <t>탈퇴</t>
        </is>
      </c>
      <c r="L38" s="118" t="inlineStr">
        <is>
          <t>탈퇴</t>
        </is>
      </c>
      <c r="M38" s="118" t="inlineStr">
        <is>
          <t>탈퇴</t>
        </is>
      </c>
      <c r="N38" s="118" t="inlineStr">
        <is>
          <t>탈퇴</t>
        </is>
      </c>
      <c r="O38" s="118" t="inlineStr">
        <is>
          <t>탈퇴</t>
        </is>
      </c>
      <c r="P38" s="118" t="inlineStr">
        <is>
          <t>탈퇴</t>
        </is>
      </c>
      <c r="Q38" s="118" t="inlineStr">
        <is>
          <t>탈퇴</t>
        </is>
      </c>
      <c r="R38" s="118" t="inlineStr">
        <is>
          <t>탈퇴</t>
        </is>
      </c>
      <c r="S38" s="118" t="inlineStr">
        <is>
          <t>탈퇴</t>
        </is>
      </c>
      <c r="T38" s="118" t="inlineStr">
        <is>
          <t>탈퇴</t>
        </is>
      </c>
      <c r="U38" s="118" t="inlineStr">
        <is>
          <t>탈퇴</t>
        </is>
      </c>
      <c r="V38" s="99" t="n">
        <v>30000</v>
      </c>
      <c r="W38" s="99" t="n">
        <v>30000</v>
      </c>
      <c r="X38" s="100" t="n"/>
      <c r="Y38" s="100" t="n"/>
      <c r="Z38" s="101" t="n"/>
    </row>
    <row r="39">
      <c r="A39" s="59" t="n">
        <v>35</v>
      </c>
      <c r="B39" s="102" t="inlineStr">
        <is>
          <t>조지훈</t>
        </is>
      </c>
      <c r="C39" s="62">
        <f>D39*V39</f>
        <v/>
      </c>
      <c r="D39" s="62">
        <f>COUNT(E39:Z39)</f>
        <v/>
      </c>
      <c r="E39" s="62" t="inlineStr">
        <is>
          <t>-</t>
        </is>
      </c>
      <c r="F39" s="62" t="inlineStr">
        <is>
          <t>-</t>
        </is>
      </c>
      <c r="G39" s="62" t="inlineStr">
        <is>
          <t>-</t>
        </is>
      </c>
      <c r="H39" s="62" t="inlineStr">
        <is>
          <t>-</t>
        </is>
      </c>
      <c r="I39" s="62" t="inlineStr">
        <is>
          <t>-</t>
        </is>
      </c>
      <c r="J39" s="62" t="inlineStr">
        <is>
          <t>-</t>
        </is>
      </c>
      <c r="K39" s="62" t="inlineStr">
        <is>
          <t>-</t>
        </is>
      </c>
      <c r="L39" s="62" t="inlineStr">
        <is>
          <t>-</t>
        </is>
      </c>
      <c r="M39" s="62" t="inlineStr">
        <is>
          <t>-</t>
        </is>
      </c>
      <c r="N39" s="62" t="inlineStr">
        <is>
          <t>-</t>
        </is>
      </c>
      <c r="O39" s="62" t="inlineStr">
        <is>
          <t>-</t>
        </is>
      </c>
      <c r="P39" s="62" t="inlineStr">
        <is>
          <t>-</t>
        </is>
      </c>
      <c r="Q39" s="62" t="inlineStr">
        <is>
          <t>-</t>
        </is>
      </c>
      <c r="R39" s="62" t="inlineStr">
        <is>
          <t>-</t>
        </is>
      </c>
      <c r="S39" s="62" t="inlineStr">
        <is>
          <t>-</t>
        </is>
      </c>
      <c r="T39" s="62" t="inlineStr">
        <is>
          <t>-</t>
        </is>
      </c>
      <c r="U39" s="62" t="inlineStr">
        <is>
          <t>-</t>
        </is>
      </c>
      <c r="V39" s="62" t="n">
        <v>30000</v>
      </c>
      <c r="W39" s="62" t="n">
        <v>30000</v>
      </c>
      <c r="X39" s="103" t="n"/>
      <c r="Y39" s="103" t="n"/>
      <c r="Z39" s="104" t="n"/>
    </row>
    <row r="40">
      <c r="A40" s="112" t="n">
        <v>36</v>
      </c>
      <c r="B40" s="118" t="inlineStr">
        <is>
          <t>이희성</t>
        </is>
      </c>
      <c r="C40" s="99">
        <f>D40*V40</f>
        <v/>
      </c>
      <c r="D40" s="99">
        <f>COUNT(E40:Z40)</f>
        <v/>
      </c>
      <c r="E40" s="118" t="inlineStr">
        <is>
          <t>-</t>
        </is>
      </c>
      <c r="F40" s="118" t="inlineStr">
        <is>
          <t>-</t>
        </is>
      </c>
      <c r="G40" s="118" t="inlineStr">
        <is>
          <t>-</t>
        </is>
      </c>
      <c r="H40" s="118" t="inlineStr">
        <is>
          <t>-</t>
        </is>
      </c>
      <c r="I40" s="118" t="inlineStr">
        <is>
          <t>-</t>
        </is>
      </c>
      <c r="J40" s="118" t="inlineStr">
        <is>
          <t>-</t>
        </is>
      </c>
      <c r="K40" s="118" t="inlineStr">
        <is>
          <t>-</t>
        </is>
      </c>
      <c r="L40" s="118" t="inlineStr">
        <is>
          <t>-</t>
        </is>
      </c>
      <c r="M40" s="118" t="inlineStr">
        <is>
          <t>-</t>
        </is>
      </c>
      <c r="N40" s="118" t="inlineStr">
        <is>
          <t>-</t>
        </is>
      </c>
      <c r="O40" s="118" t="inlineStr">
        <is>
          <t>-</t>
        </is>
      </c>
      <c r="P40" s="118" t="inlineStr">
        <is>
          <t>-</t>
        </is>
      </c>
      <c r="Q40" s="118" t="inlineStr">
        <is>
          <t>-</t>
        </is>
      </c>
      <c r="R40" s="118" t="inlineStr">
        <is>
          <t>-</t>
        </is>
      </c>
      <c r="S40" s="118" t="inlineStr">
        <is>
          <t>-</t>
        </is>
      </c>
      <c r="T40" s="118" t="inlineStr">
        <is>
          <t>-</t>
        </is>
      </c>
      <c r="U40" s="118" t="inlineStr">
        <is>
          <t>-</t>
        </is>
      </c>
      <c r="V40" s="99" t="n">
        <v>30000</v>
      </c>
      <c r="W40" s="99" t="n">
        <v>30000</v>
      </c>
      <c r="X40" s="99" t="n">
        <v>30000</v>
      </c>
      <c r="Y40" s="100" t="n"/>
      <c r="Z40" s="101" t="n"/>
    </row>
    <row r="41">
      <c r="A41" s="59" t="n">
        <v>37</v>
      </c>
      <c r="B41" s="102" t="inlineStr">
        <is>
          <t>김유솔</t>
        </is>
      </c>
      <c r="C41" s="62">
        <f>D41*W41</f>
        <v/>
      </c>
      <c r="D41" s="62">
        <f>COUNT(E41:Z41)</f>
        <v/>
      </c>
      <c r="E41" s="62" t="inlineStr">
        <is>
          <t>-</t>
        </is>
      </c>
      <c r="F41" s="62" t="inlineStr">
        <is>
          <t>-</t>
        </is>
      </c>
      <c r="G41" s="62" t="inlineStr">
        <is>
          <t>-</t>
        </is>
      </c>
      <c r="H41" s="62" t="inlineStr">
        <is>
          <t>-</t>
        </is>
      </c>
      <c r="I41" s="62" t="inlineStr">
        <is>
          <t>-</t>
        </is>
      </c>
      <c r="J41" s="62" t="inlineStr">
        <is>
          <t>-</t>
        </is>
      </c>
      <c r="K41" s="62" t="inlineStr">
        <is>
          <t>-</t>
        </is>
      </c>
      <c r="L41" s="62" t="inlineStr">
        <is>
          <t>-</t>
        </is>
      </c>
      <c r="M41" s="62" t="inlineStr">
        <is>
          <t>-</t>
        </is>
      </c>
      <c r="N41" s="62" t="inlineStr">
        <is>
          <t>-</t>
        </is>
      </c>
      <c r="O41" s="62" t="inlineStr">
        <is>
          <t>-</t>
        </is>
      </c>
      <c r="P41" s="62" t="inlineStr">
        <is>
          <t>-</t>
        </is>
      </c>
      <c r="Q41" s="62" t="inlineStr">
        <is>
          <t>-</t>
        </is>
      </c>
      <c r="R41" s="62" t="inlineStr">
        <is>
          <t>-</t>
        </is>
      </c>
      <c r="S41" s="62" t="inlineStr">
        <is>
          <t>-</t>
        </is>
      </c>
      <c r="T41" s="62" t="inlineStr">
        <is>
          <t>-</t>
        </is>
      </c>
      <c r="U41" s="62" t="inlineStr">
        <is>
          <t>-</t>
        </is>
      </c>
      <c r="V41" s="62" t="inlineStr">
        <is>
          <t>-</t>
        </is>
      </c>
      <c r="W41" s="62" t="n">
        <v>30000</v>
      </c>
      <c r="X41" s="103" t="n"/>
      <c r="Y41" s="103" t="n"/>
      <c r="Z41" s="104" t="n"/>
    </row>
    <row r="42">
      <c r="A42" s="112" t="n">
        <v>38</v>
      </c>
      <c r="B42" s="118" t="inlineStr">
        <is>
          <t>김재유</t>
        </is>
      </c>
      <c r="C42" s="99">
        <f>D42*W42</f>
        <v/>
      </c>
      <c r="D42" s="99">
        <f>COUNT(E42:Z42)</f>
        <v/>
      </c>
      <c r="E42" s="118" t="inlineStr">
        <is>
          <t>-</t>
        </is>
      </c>
      <c r="F42" s="118" t="inlineStr">
        <is>
          <t>-</t>
        </is>
      </c>
      <c r="G42" s="118" t="inlineStr">
        <is>
          <t>-</t>
        </is>
      </c>
      <c r="H42" s="118" t="inlineStr">
        <is>
          <t>-</t>
        </is>
      </c>
      <c r="I42" s="118" t="inlineStr">
        <is>
          <t>-</t>
        </is>
      </c>
      <c r="J42" s="118" t="inlineStr">
        <is>
          <t>-</t>
        </is>
      </c>
      <c r="K42" s="118" t="inlineStr">
        <is>
          <t>-</t>
        </is>
      </c>
      <c r="L42" s="118" t="inlineStr">
        <is>
          <t>-</t>
        </is>
      </c>
      <c r="M42" s="118" t="inlineStr">
        <is>
          <t>-</t>
        </is>
      </c>
      <c r="N42" s="118" t="inlineStr">
        <is>
          <t>-</t>
        </is>
      </c>
      <c r="O42" s="118" t="inlineStr">
        <is>
          <t>-</t>
        </is>
      </c>
      <c r="P42" s="118" t="inlineStr">
        <is>
          <t>-</t>
        </is>
      </c>
      <c r="Q42" s="118" t="inlineStr">
        <is>
          <t>-</t>
        </is>
      </c>
      <c r="R42" s="118" t="inlineStr">
        <is>
          <t>-</t>
        </is>
      </c>
      <c r="S42" s="118" t="inlineStr">
        <is>
          <t>-</t>
        </is>
      </c>
      <c r="T42" s="118" t="inlineStr">
        <is>
          <t>-</t>
        </is>
      </c>
      <c r="U42" s="118" t="inlineStr">
        <is>
          <t>-</t>
        </is>
      </c>
      <c r="V42" s="118" t="inlineStr">
        <is>
          <t>-</t>
        </is>
      </c>
      <c r="W42" s="99" t="n">
        <v>30000</v>
      </c>
      <c r="X42" s="100" t="n"/>
      <c r="Y42" s="100" t="n"/>
      <c r="Z42" s="101" t="n"/>
    </row>
    <row r="43">
      <c r="A43" s="106" t="n"/>
      <c r="B43" s="111" t="n"/>
      <c r="C43" s="108" t="n"/>
      <c r="D43" s="110" t="n"/>
      <c r="E43" s="110" t="n"/>
      <c r="F43" s="110" t="n"/>
      <c r="G43" s="111" t="n"/>
      <c r="H43" s="111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1" t="n"/>
    </row>
    <row r="44">
      <c r="A44" s="112" t="inlineStr">
        <is>
          <t>객원</t>
        </is>
      </c>
      <c r="B44" s="118" t="inlineStr">
        <is>
          <t>이규범</t>
        </is>
      </c>
      <c r="C44" s="99">
        <f>D44*E44</f>
        <v/>
      </c>
      <c r="D44" s="99">
        <f>COUNT(E44:Z44)</f>
        <v/>
      </c>
      <c r="E44" s="99" t="n">
        <v>30000</v>
      </c>
      <c r="F44" s="99" t="n">
        <v>30000</v>
      </c>
      <c r="G44" s="99" t="n">
        <v>30000</v>
      </c>
      <c r="H44" s="118" t="inlineStr">
        <is>
          <t>휴면</t>
        </is>
      </c>
      <c r="I44" s="118" t="inlineStr">
        <is>
          <t>부상</t>
        </is>
      </c>
      <c r="J44" s="118" t="inlineStr">
        <is>
          <t>부상</t>
        </is>
      </c>
      <c r="K44" s="118" t="inlineStr">
        <is>
          <t>부상</t>
        </is>
      </c>
      <c r="L44" s="118" t="inlineStr">
        <is>
          <t>부상</t>
        </is>
      </c>
      <c r="M44" s="118" t="inlineStr">
        <is>
          <t>부상</t>
        </is>
      </c>
      <c r="N44" s="118" t="inlineStr">
        <is>
          <t>부상</t>
        </is>
      </c>
      <c r="O44" s="118" t="n"/>
      <c r="P44" s="118" t="n"/>
      <c r="Q44" s="118" t="n"/>
      <c r="R44" s="118" t="n"/>
      <c r="S44" s="118" t="n"/>
      <c r="T44" s="118" t="n"/>
      <c r="U44" s="118" t="n"/>
      <c r="V44" s="118" t="n"/>
      <c r="W44" s="118" t="n"/>
      <c r="X44" s="118" t="n"/>
      <c r="Y44" s="118" t="n"/>
      <c r="Z44" s="113" t="n"/>
    </row>
    <row r="45">
      <c r="A45" s="112" t="inlineStr">
        <is>
          <t>객원</t>
        </is>
      </c>
      <c r="B45" s="118" t="inlineStr">
        <is>
          <t>김세영</t>
        </is>
      </c>
      <c r="C45" s="99">
        <f>D45*E45</f>
        <v/>
      </c>
      <c r="D45" s="99">
        <f>COUNT(E45:Z45)</f>
        <v/>
      </c>
      <c r="E45" s="99" t="n">
        <v>30000</v>
      </c>
      <c r="F45" s="114" t="inlineStr">
        <is>
          <t>결혼</t>
        </is>
      </c>
      <c r="G45" s="99" t="n">
        <v>30000</v>
      </c>
      <c r="H45" s="118" t="inlineStr">
        <is>
          <t>휴면</t>
        </is>
      </c>
      <c r="I45" s="118" t="inlineStr">
        <is>
          <t>휴면</t>
        </is>
      </c>
      <c r="J45" s="118" t="inlineStr">
        <is>
          <t>휴면</t>
        </is>
      </c>
      <c r="K45" s="118" t="inlineStr">
        <is>
          <t>휴면</t>
        </is>
      </c>
      <c r="L45" s="118" t="inlineStr">
        <is>
          <t>휴면</t>
        </is>
      </c>
      <c r="M45" s="118" t="inlineStr">
        <is>
          <t>휴면</t>
        </is>
      </c>
      <c r="N45" s="118" t="inlineStr">
        <is>
          <t>휴면</t>
        </is>
      </c>
      <c r="O45" s="99" t="n">
        <v>30000</v>
      </c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113" t="n"/>
    </row>
    <row r="46">
      <c r="A46" s="115" t="inlineStr">
        <is>
          <t>객원</t>
        </is>
      </c>
      <c r="B46" s="85" t="inlineStr">
        <is>
          <t>정민주</t>
        </is>
      </c>
      <c r="C46" s="87">
        <f>D46*E46</f>
        <v/>
      </c>
      <c r="D46" s="87">
        <f>COUNT(E46:Z46)</f>
        <v/>
      </c>
      <c r="E46" s="87" t="n">
        <v>30000</v>
      </c>
      <c r="F46" s="87" t="n">
        <v>30000</v>
      </c>
      <c r="G46" s="87" t="n">
        <v>30000</v>
      </c>
      <c r="H46" s="87" t="n">
        <v>30000</v>
      </c>
      <c r="I46" s="87" t="n">
        <v>30000</v>
      </c>
      <c r="J46" s="87" t="n">
        <v>30000</v>
      </c>
      <c r="K46" s="87" t="n">
        <v>30000</v>
      </c>
      <c r="L46" s="87" t="n">
        <v>30000</v>
      </c>
      <c r="M46" s="87" t="n">
        <v>30000</v>
      </c>
      <c r="N46" s="87" t="n">
        <v>30000</v>
      </c>
      <c r="O46" s="87" t="n">
        <v>30000</v>
      </c>
      <c r="P46" s="87" t="n">
        <v>30000</v>
      </c>
      <c r="Q46" s="87" t="inlineStr">
        <is>
          <t>부상</t>
        </is>
      </c>
      <c r="R46" s="87" t="n">
        <v>30000</v>
      </c>
      <c r="S46" s="87" t="n">
        <v>30000</v>
      </c>
      <c r="T46" s="87" t="inlineStr">
        <is>
          <t>휴면</t>
        </is>
      </c>
      <c r="U46" s="87" t="inlineStr">
        <is>
          <t>휴면</t>
        </is>
      </c>
      <c r="V46" s="87" t="inlineStr">
        <is>
          <t>휴면</t>
        </is>
      </c>
      <c r="W46" s="87" t="inlineStr">
        <is>
          <t>휴면</t>
        </is>
      </c>
      <c r="X46" s="87" t="inlineStr">
        <is>
          <t>휴면</t>
        </is>
      </c>
      <c r="Y46" s="116" t="n"/>
      <c r="Z46" s="117" t="n"/>
    </row>
    <row r="47">
      <c r="A47" s="112" t="n"/>
      <c r="B47" s="75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5" t="n"/>
      <c r="S47" s="75" t="n"/>
      <c r="T47" s="82" t="n"/>
      <c r="U47" s="82" t="n"/>
      <c r="V47" s="82" t="n"/>
      <c r="W47" s="82" t="n"/>
      <c r="X47" s="82" t="n"/>
      <c r="Y47" s="82" t="n"/>
      <c r="Z47" s="81" t="n"/>
    </row>
    <row r="48">
      <c r="A48" s="115" t="inlineStr">
        <is>
          <t>탈퇴</t>
        </is>
      </c>
      <c r="B48" s="85" t="inlineStr">
        <is>
          <t>이인선</t>
        </is>
      </c>
      <c r="C48" s="87">
        <f>D48*K48</f>
        <v/>
      </c>
      <c r="D48" s="87">
        <f>COUNT(E48:Z48)</f>
        <v/>
      </c>
      <c r="E48" s="87" t="inlineStr">
        <is>
          <t>-</t>
        </is>
      </c>
      <c r="F48" s="87" t="inlineStr">
        <is>
          <t>-</t>
        </is>
      </c>
      <c r="G48" s="87" t="inlineStr">
        <is>
          <t>-</t>
        </is>
      </c>
      <c r="H48" s="87" t="inlineStr">
        <is>
          <t>-</t>
        </is>
      </c>
      <c r="I48" s="87" t="inlineStr">
        <is>
          <t>-</t>
        </is>
      </c>
      <c r="J48" s="87" t="inlineStr">
        <is>
          <t>-</t>
        </is>
      </c>
      <c r="K48" s="87" t="n">
        <v>30000</v>
      </c>
      <c r="L48" s="87" t="n">
        <v>30000</v>
      </c>
      <c r="M48" s="87" t="n">
        <v>30000</v>
      </c>
      <c r="N48" s="87" t="n">
        <v>30000</v>
      </c>
      <c r="O48" s="87" t="n">
        <v>30000</v>
      </c>
      <c r="P48" s="87" t="n">
        <v>30000</v>
      </c>
      <c r="Q48" s="87" t="n">
        <v>30000</v>
      </c>
      <c r="R48" s="85" t="inlineStr">
        <is>
          <t>휴면</t>
        </is>
      </c>
      <c r="S48" s="85" t="inlineStr">
        <is>
          <t>휴면</t>
        </is>
      </c>
      <c r="T48" s="116" t="n"/>
      <c r="U48" s="116" t="n"/>
      <c r="V48" s="116" t="n"/>
      <c r="W48" s="116" t="n"/>
      <c r="X48" s="116" t="n"/>
      <c r="Y48" s="116" t="n"/>
      <c r="Z48" s="117" t="n"/>
    </row>
    <row r="49">
      <c r="A49" s="112" t="inlineStr">
        <is>
          <t>탈퇴</t>
        </is>
      </c>
      <c r="B49" s="118" t="inlineStr">
        <is>
          <t>박민규</t>
        </is>
      </c>
      <c r="C49" s="99">
        <f>D49*J49</f>
        <v/>
      </c>
      <c r="D49" s="99">
        <f>COUNT(E49:Z49)</f>
        <v/>
      </c>
      <c r="E49" s="99" t="inlineStr">
        <is>
          <t>-</t>
        </is>
      </c>
      <c r="F49" s="99" t="inlineStr">
        <is>
          <t>-</t>
        </is>
      </c>
      <c r="G49" s="99" t="inlineStr">
        <is>
          <t>-</t>
        </is>
      </c>
      <c r="H49" s="99" t="inlineStr">
        <is>
          <t>-</t>
        </is>
      </c>
      <c r="I49" s="99" t="inlineStr">
        <is>
          <t>-</t>
        </is>
      </c>
      <c r="J49" s="99" t="n">
        <v>30000</v>
      </c>
      <c r="K49" s="99" t="n">
        <v>30000</v>
      </c>
      <c r="L49" s="99" t="n">
        <v>30000</v>
      </c>
      <c r="M49" s="99" t="n">
        <v>30000</v>
      </c>
      <c r="N49" s="99" t="n">
        <v>30000</v>
      </c>
      <c r="O49" s="99" t="n">
        <v>30000</v>
      </c>
      <c r="P49" s="99" t="n">
        <v>30000</v>
      </c>
      <c r="Q49" s="99" t="n">
        <v>30000</v>
      </c>
      <c r="R49" s="99" t="n">
        <v>30000</v>
      </c>
      <c r="S49" s="100" t="n"/>
      <c r="T49" s="100" t="n"/>
      <c r="U49" s="100" t="n"/>
      <c r="V49" s="100" t="n"/>
      <c r="W49" s="100" t="n"/>
      <c r="X49" s="100" t="n"/>
      <c r="Y49" s="100" t="n"/>
      <c r="Z49" s="101" t="n"/>
    </row>
    <row r="50">
      <c r="A50" s="112" t="inlineStr">
        <is>
          <t>탈퇴</t>
        </is>
      </c>
      <c r="B50" s="118" t="inlineStr">
        <is>
          <t>배성은</t>
        </is>
      </c>
      <c r="C50" s="99">
        <f>D50*J50</f>
        <v/>
      </c>
      <c r="D50" s="99">
        <f>COUNT(E50:Z50)</f>
        <v/>
      </c>
      <c r="E50" s="99" t="inlineStr">
        <is>
          <t>-</t>
        </is>
      </c>
      <c r="F50" s="99" t="inlineStr">
        <is>
          <t>-</t>
        </is>
      </c>
      <c r="G50" s="99" t="inlineStr">
        <is>
          <t>-</t>
        </is>
      </c>
      <c r="H50" s="99" t="inlineStr">
        <is>
          <t>-</t>
        </is>
      </c>
      <c r="I50" s="99" t="inlineStr">
        <is>
          <t>-</t>
        </is>
      </c>
      <c r="J50" s="99" t="n">
        <v>30000</v>
      </c>
      <c r="K50" s="99" t="n">
        <v>30000</v>
      </c>
      <c r="L50" s="99" t="n">
        <v>30000</v>
      </c>
      <c r="M50" s="99" t="n">
        <v>30000</v>
      </c>
      <c r="N50" s="99" t="n">
        <v>30000</v>
      </c>
      <c r="O50" s="99" t="n">
        <v>30000</v>
      </c>
      <c r="P50" s="99" t="n">
        <v>30000</v>
      </c>
      <c r="Q50" s="99" t="n">
        <v>30000</v>
      </c>
      <c r="R50" s="99" t="n">
        <v>30000</v>
      </c>
      <c r="S50" s="100" t="n"/>
      <c r="T50" s="100" t="n"/>
      <c r="U50" s="100" t="n"/>
      <c r="V50" s="100" t="n"/>
      <c r="W50" s="100" t="n"/>
      <c r="X50" s="100" t="n"/>
      <c r="Y50" s="100" t="n"/>
      <c r="Z50" s="101" t="n"/>
    </row>
    <row r="51">
      <c r="A51" s="112" t="inlineStr">
        <is>
          <t>탈퇴</t>
        </is>
      </c>
      <c r="B51" s="118" t="inlineStr">
        <is>
          <t>최신비</t>
        </is>
      </c>
      <c r="C51" s="99">
        <f>D51*I51</f>
        <v/>
      </c>
      <c r="D51" s="99">
        <f>COUNT(E51:Z51)</f>
        <v/>
      </c>
      <c r="E51" s="99" t="inlineStr">
        <is>
          <t>-</t>
        </is>
      </c>
      <c r="F51" s="99" t="inlineStr">
        <is>
          <t>-</t>
        </is>
      </c>
      <c r="G51" s="99" t="inlineStr">
        <is>
          <t>-</t>
        </is>
      </c>
      <c r="H51" s="99" t="inlineStr">
        <is>
          <t>-</t>
        </is>
      </c>
      <c r="I51" s="99" t="n">
        <v>30000</v>
      </c>
      <c r="J51" s="99" t="n">
        <v>30000</v>
      </c>
      <c r="K51" s="99" t="inlineStr">
        <is>
          <t>휴면</t>
        </is>
      </c>
      <c r="L51" s="99" t="n">
        <v>30000</v>
      </c>
      <c r="M51" s="99" t="n">
        <v>30000</v>
      </c>
      <c r="N51" s="99" t="n">
        <v>30000</v>
      </c>
      <c r="O51" s="99" t="inlineStr">
        <is>
          <t>휴면</t>
        </is>
      </c>
      <c r="P51" s="99" t="n">
        <v>30000</v>
      </c>
      <c r="Q51" s="99" t="n">
        <v>30000</v>
      </c>
      <c r="R51" s="99" t="n">
        <v>30000</v>
      </c>
      <c r="S51" s="100" t="n"/>
      <c r="T51" s="100" t="n"/>
      <c r="U51" s="100" t="n"/>
      <c r="V51" s="100" t="n"/>
      <c r="W51" s="100" t="n"/>
      <c r="X51" s="100" t="n"/>
      <c r="Y51" s="100" t="n"/>
      <c r="Z51" s="101" t="n"/>
    </row>
    <row r="52">
      <c r="A52" s="112" t="inlineStr">
        <is>
          <t>탈퇴</t>
        </is>
      </c>
      <c r="B52" s="118" t="inlineStr">
        <is>
          <t>심지수</t>
        </is>
      </c>
      <c r="C52" s="99">
        <f>D52*E52</f>
        <v/>
      </c>
      <c r="D52" s="99">
        <f>COUNT(E52:Z52)</f>
        <v/>
      </c>
      <c r="E52" s="99" t="n">
        <v>30000</v>
      </c>
      <c r="F52" s="99" t="n">
        <v>30000</v>
      </c>
      <c r="G52" s="99" t="n">
        <v>30000</v>
      </c>
      <c r="H52" s="99" t="n">
        <v>30000</v>
      </c>
      <c r="I52" s="99" t="n">
        <v>30000</v>
      </c>
      <c r="J52" s="99" t="n">
        <v>30000</v>
      </c>
      <c r="K52" s="99" t="n">
        <v>30000</v>
      </c>
      <c r="L52" s="99" t="n">
        <v>30000</v>
      </c>
      <c r="M52" s="99" t="n">
        <v>30000</v>
      </c>
      <c r="N52" s="99" t="inlineStr">
        <is>
          <t>휴면</t>
        </is>
      </c>
      <c r="O52" s="99" t="n">
        <v>30000</v>
      </c>
      <c r="P52" s="99" t="n">
        <v>30000</v>
      </c>
      <c r="Q52" s="99" t="n">
        <v>30000</v>
      </c>
      <c r="R52" s="100" t="n"/>
      <c r="S52" s="100" t="n"/>
      <c r="T52" s="100" t="n"/>
      <c r="U52" s="100" t="n"/>
      <c r="V52" s="100" t="n"/>
      <c r="W52" s="100" t="n"/>
      <c r="X52" s="100" t="n"/>
      <c r="Y52" s="100" t="n"/>
      <c r="Z52" s="101" t="n"/>
    </row>
    <row r="53">
      <c r="A53" s="112" t="inlineStr">
        <is>
          <t>탈퇴</t>
        </is>
      </c>
      <c r="B53" s="118" t="inlineStr">
        <is>
          <t>박혜란</t>
        </is>
      </c>
      <c r="C53" s="99">
        <f>D53*J53</f>
        <v/>
      </c>
      <c r="D53" s="99">
        <f>COUNT(E53:Z53)</f>
        <v/>
      </c>
      <c r="E53" s="99" t="inlineStr">
        <is>
          <t>-</t>
        </is>
      </c>
      <c r="F53" s="99" t="inlineStr">
        <is>
          <t>-</t>
        </is>
      </c>
      <c r="G53" s="99" t="inlineStr">
        <is>
          <t>-</t>
        </is>
      </c>
      <c r="H53" s="99" t="inlineStr">
        <is>
          <t>-</t>
        </is>
      </c>
      <c r="I53" s="99" t="inlineStr">
        <is>
          <t>-</t>
        </is>
      </c>
      <c r="J53" s="99" t="n">
        <v>30000</v>
      </c>
      <c r="K53" s="99" t="n">
        <v>30000</v>
      </c>
      <c r="L53" s="99" t="n">
        <v>30000</v>
      </c>
      <c r="M53" s="99" t="n">
        <v>30000</v>
      </c>
      <c r="N53" s="99" t="n">
        <v>30000</v>
      </c>
      <c r="O53" s="99" t="n">
        <v>30000</v>
      </c>
      <c r="P53" s="99" t="n">
        <v>30000</v>
      </c>
      <c r="Q53" s="100" t="n"/>
      <c r="R53" s="100" t="n"/>
      <c r="S53" s="100" t="n"/>
      <c r="T53" s="100" t="n"/>
      <c r="U53" s="100" t="n"/>
      <c r="V53" s="100" t="n"/>
      <c r="W53" s="100" t="n"/>
      <c r="X53" s="100" t="n"/>
      <c r="Y53" s="100" t="n"/>
      <c r="Z53" s="101" t="n"/>
    </row>
    <row r="54">
      <c r="A54" s="112" t="inlineStr">
        <is>
          <t>탈퇴</t>
        </is>
      </c>
      <c r="B54" s="118" t="inlineStr">
        <is>
          <t>강성민</t>
        </is>
      </c>
      <c r="C54" s="99">
        <f>D54*E54</f>
        <v/>
      </c>
      <c r="D54" s="99" t="n">
        <v>2</v>
      </c>
      <c r="E54" s="99" t="n">
        <v>30000</v>
      </c>
      <c r="F54" s="99" t="n">
        <v>30000</v>
      </c>
      <c r="G54" s="118" t="n"/>
      <c r="H54" s="118" t="n"/>
      <c r="I54" s="100" t="n"/>
      <c r="J54" s="100" t="n"/>
      <c r="K54" s="100" t="n"/>
      <c r="L54" s="100" t="n"/>
      <c r="M54" s="100" t="n"/>
      <c r="N54" s="100" t="n"/>
      <c r="O54" s="100" t="n"/>
      <c r="P54" s="100" t="n"/>
      <c r="Q54" s="100" t="n"/>
      <c r="R54" s="100" t="n"/>
      <c r="S54" s="100" t="n"/>
      <c r="T54" s="100" t="n"/>
      <c r="U54" s="100" t="n"/>
      <c r="V54" s="100" t="n"/>
      <c r="W54" s="100" t="n"/>
      <c r="X54" s="100" t="n"/>
      <c r="Y54" s="100" t="n"/>
      <c r="Z54" s="101" t="n"/>
    </row>
    <row r="55">
      <c r="A55" s="112" t="inlineStr">
        <is>
          <t>탈퇴</t>
        </is>
      </c>
      <c r="B55" s="118" t="inlineStr">
        <is>
          <t>이주하</t>
        </is>
      </c>
      <c r="C55" s="99">
        <f>D55*E55</f>
        <v/>
      </c>
      <c r="D55" s="99">
        <f>COUNT(E55:Z55)</f>
        <v/>
      </c>
      <c r="E55" s="99" t="n">
        <v>30000</v>
      </c>
      <c r="F55" s="99" t="n">
        <v>30000</v>
      </c>
      <c r="G55" s="99" t="n">
        <v>30000</v>
      </c>
      <c r="H55" s="118" t="n"/>
      <c r="I55" s="100" t="n"/>
      <c r="J55" s="100" t="n"/>
      <c r="K55" s="100" t="n"/>
      <c r="L55" s="100" t="n"/>
      <c r="M55" s="100" t="n"/>
      <c r="N55" s="100" t="n"/>
      <c r="O55" s="100" t="n"/>
      <c r="P55" s="100" t="n"/>
      <c r="Q55" s="100" t="n"/>
      <c r="R55" s="100" t="n"/>
      <c r="S55" s="100" t="n"/>
      <c r="T55" s="100" t="n"/>
      <c r="U55" s="100" t="n"/>
      <c r="V55" s="100" t="n"/>
      <c r="W55" s="100" t="n"/>
      <c r="X55" s="100" t="n"/>
      <c r="Y55" s="100" t="n"/>
      <c r="Z55" s="101" t="n"/>
    </row>
    <row r="56">
      <c r="A56" s="112" t="inlineStr">
        <is>
          <t>탈퇴</t>
        </is>
      </c>
      <c r="B56" s="118" t="inlineStr">
        <is>
          <t>심현우</t>
        </is>
      </c>
      <c r="C56" s="99" t="n">
        <v>30000</v>
      </c>
      <c r="D56" s="99" t="n">
        <v>1</v>
      </c>
      <c r="E56" s="99" t="inlineStr">
        <is>
          <t>-</t>
        </is>
      </c>
      <c r="F56" s="99" t="inlineStr">
        <is>
          <t>-</t>
        </is>
      </c>
      <c r="G56" s="119" t="inlineStr">
        <is>
          <t>-</t>
        </is>
      </c>
      <c r="H56" s="119" t="n">
        <v>30000</v>
      </c>
      <c r="I56" s="100" t="n"/>
      <c r="J56" s="100" t="n"/>
      <c r="K56" s="100" t="n"/>
      <c r="L56" s="100" t="n"/>
      <c r="M56" s="100" t="n"/>
      <c r="N56" s="100" t="n"/>
      <c r="O56" s="100" t="n"/>
      <c r="P56" s="100" t="n"/>
      <c r="Q56" s="100" t="n"/>
      <c r="R56" s="100" t="n"/>
      <c r="S56" s="100" t="n"/>
      <c r="T56" s="100" t="n"/>
      <c r="U56" s="100" t="n"/>
      <c r="V56" s="100" t="n"/>
      <c r="W56" s="100" t="n"/>
      <c r="X56" s="100" t="n"/>
      <c r="Y56" s="100" t="n"/>
      <c r="Z56" s="10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1004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151" min="3" max="3"/>
    <col width="13.88" customWidth="1" style="151" min="6" max="6"/>
  </cols>
  <sheetData>
    <row r="1">
      <c r="A1" s="120" t="inlineStr">
        <is>
          <t>_x0008_총합</t>
        </is>
      </c>
      <c r="B1" s="121">
        <f>B2+B7+B14</f>
        <v/>
      </c>
      <c r="D1" s="120" t="inlineStr">
        <is>
          <t>총합</t>
        </is>
      </c>
      <c r="E1" s="121">
        <f>E2+E7</f>
        <v/>
      </c>
      <c r="P1" s="122" t="n"/>
      <c r="Q1" s="123" t="n"/>
      <c r="R1" s="123" t="n"/>
      <c r="S1" s="122" t="n"/>
      <c r="T1" s="123" t="n"/>
      <c r="U1" s="123" t="n"/>
      <c r="V1" s="124" t="n"/>
      <c r="W1" s="124" t="n"/>
      <c r="X1" s="124" t="n"/>
      <c r="Y1" s="124" t="n"/>
      <c r="Z1" s="124" t="n"/>
      <c r="AA1" s="124" t="n"/>
      <c r="AB1" s="124" t="n"/>
      <c r="AC1" s="124" t="n"/>
    </row>
    <row r="2">
      <c r="A2" s="125" t="n">
        <v>45566</v>
      </c>
      <c r="B2" s="152">
        <f>sum(B4:B6)</f>
        <v/>
      </c>
      <c r="C2" s="153" t="n"/>
      <c r="D2" s="125" t="n">
        <v>45658</v>
      </c>
      <c r="E2" s="152">
        <f>sum(E4:E6)</f>
        <v/>
      </c>
      <c r="F2" s="153" t="n"/>
      <c r="P2" s="122" t="n"/>
      <c r="Q2" s="154">
        <f>sum(Q4:Q53)</f>
        <v/>
      </c>
      <c r="R2" s="153" t="n"/>
      <c r="S2" s="129" t="n">
        <v>45717</v>
      </c>
      <c r="T2" s="154">
        <f>sum(T4:T53)</f>
        <v/>
      </c>
      <c r="U2" s="153" t="n"/>
      <c r="V2" s="124" t="n"/>
      <c r="W2" s="124" t="n"/>
      <c r="X2" s="124" t="n"/>
      <c r="Y2" s="124" t="n"/>
      <c r="Z2" s="124" t="n"/>
      <c r="AA2" s="124" t="n"/>
      <c r="AB2" s="124" t="n"/>
      <c r="AC2" s="124" t="n"/>
    </row>
    <row r="3">
      <c r="A3" s="130" t="inlineStr">
        <is>
          <t>_x0008_날짜</t>
        </is>
      </c>
      <c r="B3" s="131" t="inlineStr">
        <is>
          <t>금액</t>
        </is>
      </c>
      <c r="C3" s="131" t="inlineStr">
        <is>
          <t>목적</t>
        </is>
      </c>
      <c r="D3" s="130" t="inlineStr">
        <is>
          <t>_x0008_날짜</t>
        </is>
      </c>
      <c r="E3" s="131" t="inlineStr">
        <is>
          <t>금액</t>
        </is>
      </c>
      <c r="F3" s="131" t="inlineStr">
        <is>
          <t>목적</t>
        </is>
      </c>
      <c r="P3" s="132" t="n"/>
      <c r="Q3" s="131" t="inlineStr">
        <is>
          <t>금액</t>
        </is>
      </c>
      <c r="R3" s="133" t="inlineStr">
        <is>
          <t>목적</t>
        </is>
      </c>
      <c r="S3" s="130" t="inlineStr">
        <is>
          <t>_x0008_날짜</t>
        </is>
      </c>
      <c r="T3" s="131" t="inlineStr">
        <is>
          <t>금액</t>
        </is>
      </c>
      <c r="U3" s="133" t="inlineStr">
        <is>
          <t>목적</t>
        </is>
      </c>
      <c r="V3" s="134" t="n"/>
      <c r="W3" s="134" t="n"/>
      <c r="X3" s="134" t="n"/>
      <c r="Y3" s="134" t="n"/>
      <c r="Z3" s="134" t="n"/>
      <c r="AA3" s="134" t="n"/>
      <c r="AB3" s="134" t="n"/>
      <c r="AC3" s="134" t="n"/>
    </row>
    <row r="4">
      <c r="A4" s="135" t="inlineStr">
        <is>
          <t>2024.10.28 16:48:16</t>
        </is>
      </c>
      <c r="B4" s="136" t="n">
        <v>-160000</v>
      </c>
      <c r="C4" s="140" t="inlineStr">
        <is>
          <t>11월 20일 구장</t>
        </is>
      </c>
      <c r="D4" s="140" t="inlineStr">
        <is>
          <t>2025.01.01 10:15:27</t>
        </is>
      </c>
      <c r="E4" s="136" t="n">
        <v>-115000</v>
      </c>
      <c r="F4" s="140" t="inlineStr">
        <is>
          <t>2월 12일 구장</t>
        </is>
      </c>
      <c r="R4" s="138" t="n"/>
      <c r="S4" s="139" t="n"/>
      <c r="U4" s="138" t="n"/>
    </row>
    <row r="5">
      <c r="A5" s="135" t="inlineStr">
        <is>
          <t>2024.10.28 17:02:39</t>
        </is>
      </c>
      <c r="B5" s="136" t="n">
        <v>-160000</v>
      </c>
      <c r="C5" s="140" t="inlineStr">
        <is>
          <t>11월 13일 구장</t>
        </is>
      </c>
      <c r="D5" s="140" t="inlineStr">
        <is>
          <t>2025.01.15 16:43:30</t>
        </is>
      </c>
      <c r="E5" s="136" t="n">
        <v>-198000</v>
      </c>
      <c r="F5" s="140" t="inlineStr">
        <is>
          <t>2.5 / 2.19 구장</t>
        </is>
      </c>
      <c r="R5" s="138" t="n"/>
      <c r="S5" s="139" t="n"/>
      <c r="U5" s="138" t="n"/>
    </row>
    <row r="6">
      <c r="A6" s="135" t="inlineStr">
        <is>
          <t>2024.10.29 18:49:25</t>
        </is>
      </c>
      <c r="B6" s="136" t="n">
        <v>-90000</v>
      </c>
      <c r="C6" s="140" t="inlineStr">
        <is>
          <t>11월 6일 구장</t>
        </is>
      </c>
      <c r="D6" s="140" t="inlineStr">
        <is>
          <t>2025.01.17 10:37:50</t>
        </is>
      </c>
      <c r="E6" s="136" t="n">
        <v>-62400</v>
      </c>
      <c r="F6" s="140" t="inlineStr">
        <is>
          <t>2.26 구장예약</t>
        </is>
      </c>
      <c r="R6" s="138" t="n"/>
      <c r="S6" s="139" t="n"/>
      <c r="U6" s="138" t="n"/>
    </row>
    <row r="7">
      <c r="A7" s="125" t="n">
        <v>45597</v>
      </c>
      <c r="B7" s="152">
        <f>sum(B9:B12)</f>
        <v/>
      </c>
      <c r="C7" s="153" t="n"/>
      <c r="D7" s="141" t="n">
        <v>45689</v>
      </c>
      <c r="E7" s="152">
        <f>sum(E9:E10)</f>
        <v/>
      </c>
      <c r="F7" s="153" t="n"/>
      <c r="G7" s="83" t="n"/>
      <c r="H7" s="36" t="n"/>
      <c r="J7" s="83" t="n"/>
      <c r="K7" s="36" t="n"/>
      <c r="R7" s="138" t="n"/>
      <c r="S7" s="139" t="n"/>
      <c r="U7" s="138" t="n"/>
    </row>
    <row r="8">
      <c r="A8" s="130" t="inlineStr">
        <is>
          <t>_x0008_날짜</t>
        </is>
      </c>
      <c r="B8" s="131" t="inlineStr">
        <is>
          <t>금액</t>
        </is>
      </c>
      <c r="C8" s="131" t="inlineStr">
        <is>
          <t>목적</t>
        </is>
      </c>
      <c r="D8" s="130" t="inlineStr">
        <is>
          <t>_x0008_날짜</t>
        </is>
      </c>
      <c r="E8" s="131" t="inlineStr">
        <is>
          <t>금액</t>
        </is>
      </c>
      <c r="F8" s="131" t="inlineStr">
        <is>
          <t>목적</t>
        </is>
      </c>
      <c r="G8" s="83" t="n"/>
      <c r="H8" s="36" t="n"/>
      <c r="J8" s="83" t="n"/>
      <c r="K8" s="36" t="n"/>
      <c r="R8" s="138" t="n"/>
      <c r="S8" s="139" t="n"/>
      <c r="U8" s="138" t="n"/>
    </row>
    <row r="9">
      <c r="A9" s="135" t="inlineStr">
        <is>
          <t>2024.11.03 16:08:07</t>
        </is>
      </c>
      <c r="B9" s="136" t="n">
        <v>-160000</v>
      </c>
      <c r="C9" s="140" t="inlineStr">
        <is>
          <t>11월 27일 구장</t>
        </is>
      </c>
      <c r="D9" s="140" t="inlineStr">
        <is>
          <t>2025.02.01 10:32:19</t>
        </is>
      </c>
      <c r="E9" s="136" t="n">
        <v>-115000</v>
      </c>
      <c r="F9" s="140" t="inlineStr">
        <is>
          <t>3월 19일 구장</t>
        </is>
      </c>
      <c r="J9" s="83" t="n"/>
      <c r="K9" s="36" t="n"/>
      <c r="R9" s="138" t="n"/>
      <c r="S9" s="139" t="n"/>
      <c r="U9" s="138" t="n"/>
    </row>
    <row r="10">
      <c r="A10" s="135" t="inlineStr">
        <is>
          <t>2024.11.16 16:56:11</t>
        </is>
      </c>
      <c r="B10" s="136" t="n">
        <v>-160000</v>
      </c>
      <c r="C10" s="140" t="inlineStr">
        <is>
          <t>12월 구장</t>
        </is>
      </c>
      <c r="D10" s="140" t="inlineStr">
        <is>
          <t>2025.02.01 10:32:42</t>
        </is>
      </c>
      <c r="E10" s="136" t="n">
        <v>-115000</v>
      </c>
      <c r="F10" s="140" t="inlineStr">
        <is>
          <t>3월 26일 구장</t>
        </is>
      </c>
      <c r="R10" s="138" t="n"/>
      <c r="S10" s="139" t="n"/>
      <c r="U10" s="138" t="n"/>
    </row>
    <row r="11">
      <c r="A11" s="135" t="inlineStr">
        <is>
          <t>2024.11.17 07:37:13</t>
        </is>
      </c>
      <c r="B11" s="136" t="n">
        <v>-160000</v>
      </c>
      <c r="C11" s="140" t="inlineStr">
        <is>
          <t>12월 구장</t>
        </is>
      </c>
      <c r="R11" s="138" t="n"/>
      <c r="S11" s="139" t="n"/>
      <c r="U11" s="138" t="n"/>
    </row>
    <row r="12">
      <c r="A12" s="135" t="inlineStr">
        <is>
          <t>2024.11.27 11:53:35</t>
        </is>
      </c>
      <c r="B12" s="136" t="n">
        <v>-160000</v>
      </c>
      <c r="C12" s="9" t="inlineStr">
        <is>
          <t>12월 구장</t>
        </is>
      </c>
      <c r="R12" s="138" t="n"/>
      <c r="S12" s="139" t="n"/>
      <c r="U12" s="138" t="n"/>
    </row>
    <row r="13">
      <c r="A13" s="142" t="inlineStr">
        <is>
          <t>2024.11.27 16:55:14</t>
        </is>
      </c>
      <c r="B13" s="143" t="n">
        <v>-14998</v>
      </c>
      <c r="C13" s="144" t="inlineStr">
        <is>
          <t>확인 필요</t>
        </is>
      </c>
      <c r="R13" s="138" t="n"/>
      <c r="S13" s="139" t="n"/>
      <c r="U13" s="138" t="n"/>
    </row>
    <row r="14">
      <c r="A14" s="145" t="n">
        <v>45627</v>
      </c>
      <c r="B14" s="152">
        <f>sum(B17:B19)</f>
        <v/>
      </c>
      <c r="C14" s="153" t="n"/>
      <c r="R14" s="138" t="n"/>
      <c r="S14" s="139" t="n"/>
      <c r="U14" s="138" t="n"/>
    </row>
    <row r="15">
      <c r="A15" s="130" t="inlineStr">
        <is>
          <t>_x0008_날짜</t>
        </is>
      </c>
      <c r="B15" s="131" t="inlineStr">
        <is>
          <t>금액</t>
        </is>
      </c>
      <c r="C15" s="131" t="inlineStr">
        <is>
          <t>목적</t>
        </is>
      </c>
      <c r="R15" s="138" t="n"/>
      <c r="S15" s="139" t="n"/>
      <c r="U15" s="138" t="n"/>
    </row>
    <row r="16">
      <c r="A16" s="140" t="inlineStr">
        <is>
          <t>2024.12.04 21:02:58</t>
        </is>
      </c>
      <c r="B16" s="136" t="n">
        <v>-105030</v>
      </c>
      <c r="C16" s="146" t="inlineStr">
        <is>
          <t>쿠팡(쿠페이)</t>
        </is>
      </c>
      <c r="R16" s="138" t="n"/>
      <c r="S16" s="139" t="n"/>
      <c r="U16" s="138" t="n"/>
    </row>
    <row r="17">
      <c r="A17" s="140" t="inlineStr">
        <is>
          <t>2024.12.06 17:45:04</t>
        </is>
      </c>
      <c r="B17" s="136" t="n">
        <v>-150000</v>
      </c>
      <c r="C17" s="146" t="n">
        <v>45659</v>
      </c>
      <c r="R17" s="138" t="n"/>
      <c r="S17" s="139" t="n"/>
      <c r="U17" s="138" t="n"/>
    </row>
    <row r="18">
      <c r="A18" s="147" t="inlineStr">
        <is>
          <t>2024.12.17 08:39:48</t>
        </is>
      </c>
      <c r="B18" s="143" t="n">
        <v>-110999</v>
      </c>
      <c r="C18" s="144" t="inlineStr">
        <is>
          <t>확인 필요</t>
        </is>
      </c>
      <c r="R18" s="138" t="n"/>
      <c r="S18" s="139" t="n"/>
      <c r="U18" s="138" t="n"/>
    </row>
    <row r="19">
      <c r="A19" s="140" t="inlineStr">
        <is>
          <t>2024.12.26 13:22:18</t>
        </is>
      </c>
      <c r="B19" s="136" t="n">
        <v>-110000</v>
      </c>
      <c r="C19" s="140" t="inlineStr">
        <is>
          <t>1월 2일 구장</t>
        </is>
      </c>
      <c r="R19" s="138" t="n"/>
      <c r="S19" s="139" t="n"/>
      <c r="U19" s="138" t="n"/>
    </row>
    <row r="20">
      <c r="R20" s="138" t="n"/>
      <c r="S20" s="139" t="n"/>
      <c r="U20" s="138" t="n"/>
    </row>
    <row r="21">
      <c r="R21" s="138" t="n"/>
      <c r="S21" s="139" t="n"/>
      <c r="U21" s="138" t="n"/>
    </row>
    <row r="22">
      <c r="R22" s="138" t="n"/>
      <c r="S22" s="139" t="n"/>
      <c r="U22" s="138" t="n"/>
    </row>
    <row r="23">
      <c r="R23" s="138" t="n"/>
      <c r="S23" s="139" t="n"/>
      <c r="U23" s="138" t="n"/>
    </row>
    <row r="24">
      <c r="R24" s="138" t="n"/>
      <c r="S24" s="139" t="n"/>
      <c r="U24" s="138" t="n"/>
    </row>
    <row r="25">
      <c r="R25" s="138" t="n"/>
      <c r="S25" s="139" t="n"/>
      <c r="U25" s="138" t="n"/>
    </row>
    <row r="26">
      <c r="R26" s="138" t="n"/>
      <c r="S26" s="139" t="n"/>
      <c r="U26" s="138" t="n"/>
    </row>
    <row r="27">
      <c r="R27" s="138" t="n"/>
      <c r="S27" s="139" t="n"/>
      <c r="U27" s="138" t="n"/>
    </row>
    <row r="28">
      <c r="R28" s="138" t="n"/>
      <c r="S28" s="139" t="n"/>
      <c r="U28" s="138" t="n"/>
    </row>
    <row r="29">
      <c r="A29" s="139" t="n"/>
      <c r="R29" s="138" t="n"/>
      <c r="S29" s="139" t="n"/>
      <c r="U29" s="138" t="n"/>
    </row>
    <row r="30">
      <c r="A30" s="139" t="n"/>
      <c r="R30" s="138" t="n"/>
      <c r="S30" s="139" t="n"/>
      <c r="U30" s="138" t="n"/>
    </row>
    <row r="31">
      <c r="A31" s="139" t="n"/>
      <c r="R31" s="138" t="n"/>
      <c r="S31" s="139" t="n"/>
      <c r="U31" s="138" t="n"/>
    </row>
    <row r="32">
      <c r="A32" s="139" t="n"/>
      <c r="R32" s="138" t="n"/>
      <c r="S32" s="139" t="n"/>
      <c r="U32" s="138" t="n"/>
    </row>
    <row r="33">
      <c r="A33" s="139" t="n"/>
      <c r="R33" s="138" t="n"/>
      <c r="S33" s="139" t="n"/>
      <c r="U33" s="138" t="n"/>
    </row>
    <row r="34">
      <c r="A34" s="139" t="n"/>
      <c r="R34" s="138" t="n"/>
      <c r="S34" s="139" t="n"/>
      <c r="U34" s="138" t="n"/>
    </row>
    <row r="35">
      <c r="A35" s="139" t="n"/>
      <c r="R35" s="138" t="n"/>
      <c r="S35" s="139" t="n"/>
      <c r="U35" s="138" t="n"/>
    </row>
    <row r="36">
      <c r="A36" s="139" t="n"/>
      <c r="R36" s="138" t="n"/>
      <c r="S36" s="139" t="n"/>
      <c r="U36" s="138" t="n"/>
    </row>
    <row r="37">
      <c r="A37" s="139" t="n"/>
      <c r="R37" s="138" t="n"/>
      <c r="S37" s="139" t="n"/>
      <c r="U37" s="138" t="n"/>
    </row>
    <row r="38">
      <c r="A38" s="139" t="n"/>
      <c r="R38" s="138" t="n"/>
      <c r="S38" s="139" t="n"/>
      <c r="U38" s="138" t="n"/>
    </row>
    <row r="39">
      <c r="A39" s="139" t="n"/>
      <c r="R39" s="138" t="n"/>
      <c r="S39" s="139" t="n"/>
      <c r="U39" s="138" t="n"/>
    </row>
    <row r="40">
      <c r="A40" s="139" t="n"/>
      <c r="R40" s="138" t="n"/>
      <c r="S40" s="139" t="n"/>
      <c r="U40" s="138" t="n"/>
    </row>
    <row r="41">
      <c r="A41" s="139" t="n"/>
      <c r="R41" s="138" t="n"/>
      <c r="S41" s="139" t="n"/>
      <c r="U41" s="138" t="n"/>
    </row>
    <row r="42">
      <c r="A42" s="139" t="n"/>
      <c r="R42" s="138" t="n"/>
      <c r="S42" s="139" t="n"/>
      <c r="U42" s="138" t="n"/>
    </row>
    <row r="43">
      <c r="A43" s="139" t="n"/>
      <c r="R43" s="138" t="n"/>
      <c r="S43" s="139" t="n"/>
      <c r="U43" s="138" t="n"/>
    </row>
    <row r="44">
      <c r="A44" s="139" t="n"/>
      <c r="R44" s="138" t="n"/>
      <c r="S44" s="139" t="n"/>
      <c r="U44" s="138" t="n"/>
    </row>
    <row r="45">
      <c r="A45" s="139" t="n"/>
      <c r="R45" s="138" t="n"/>
      <c r="S45" s="139" t="n"/>
      <c r="U45" s="138" t="n"/>
    </row>
    <row r="46">
      <c r="A46" s="139" t="n"/>
      <c r="R46" s="138" t="n"/>
      <c r="S46" s="139" t="n"/>
      <c r="U46" s="138" t="n"/>
    </row>
    <row r="47">
      <c r="A47" s="139" t="n"/>
      <c r="R47" s="138" t="n"/>
      <c r="S47" s="139" t="n"/>
      <c r="U47" s="138" t="n"/>
    </row>
    <row r="48">
      <c r="A48" s="139" t="n"/>
      <c r="R48" s="138" t="n"/>
      <c r="S48" s="139" t="n"/>
      <c r="U48" s="138" t="n"/>
    </row>
    <row r="49">
      <c r="A49" s="139" t="n"/>
      <c r="R49" s="138" t="n"/>
      <c r="S49" s="139" t="n"/>
      <c r="U49" s="138" t="n"/>
    </row>
    <row r="50">
      <c r="A50" s="139" t="n"/>
      <c r="R50" s="138" t="n"/>
      <c r="S50" s="139" t="n"/>
      <c r="U50" s="138" t="n"/>
    </row>
    <row r="51">
      <c r="A51" s="139" t="n"/>
      <c r="R51" s="138" t="n"/>
      <c r="S51" s="139" t="n"/>
      <c r="U51" s="138" t="n"/>
    </row>
    <row r="52">
      <c r="A52" s="139" t="n"/>
      <c r="R52" s="138" t="n"/>
      <c r="S52" s="139" t="n"/>
      <c r="U52" s="138" t="n"/>
    </row>
    <row r="53">
      <c r="A53" s="139" t="n"/>
      <c r="R53" s="138" t="n"/>
      <c r="S53" s="139" t="n"/>
      <c r="U53" s="138" t="n"/>
    </row>
    <row r="54">
      <c r="A54" s="139" t="n"/>
      <c r="R54" s="138" t="n"/>
      <c r="S54" s="139" t="n"/>
      <c r="U54" s="138" t="n"/>
    </row>
    <row r="55">
      <c r="A55" s="139" t="n"/>
      <c r="R55" s="138" t="n"/>
      <c r="S55" s="139" t="n"/>
      <c r="U55" s="138" t="n"/>
    </row>
    <row r="56">
      <c r="A56" s="139" t="n"/>
      <c r="R56" s="138" t="n"/>
      <c r="S56" s="139" t="n"/>
      <c r="U56" s="138" t="n"/>
    </row>
    <row r="57">
      <c r="A57" s="139" t="n"/>
      <c r="R57" s="138" t="n"/>
      <c r="S57" s="139" t="n"/>
      <c r="U57" s="138" t="n"/>
    </row>
    <row r="58">
      <c r="A58" s="139" t="n"/>
      <c r="R58" s="138" t="n"/>
      <c r="S58" s="139" t="n"/>
      <c r="U58" s="138" t="n"/>
    </row>
    <row r="59">
      <c r="A59" s="139" t="n"/>
      <c r="R59" s="138" t="n"/>
      <c r="S59" s="139" t="n"/>
      <c r="U59" s="138" t="n"/>
    </row>
    <row r="60">
      <c r="A60" s="139" t="n"/>
      <c r="R60" s="138" t="n"/>
      <c r="S60" s="139" t="n"/>
      <c r="U60" s="138" t="n"/>
    </row>
    <row r="61">
      <c r="A61" s="139" t="n"/>
      <c r="R61" s="138" t="n"/>
      <c r="S61" s="139" t="n"/>
      <c r="U61" s="138" t="n"/>
    </row>
    <row r="62">
      <c r="A62" s="139" t="n"/>
      <c r="R62" s="138" t="n"/>
      <c r="S62" s="139" t="n"/>
      <c r="U62" s="138" t="n"/>
    </row>
    <row r="63">
      <c r="A63" s="139" t="n"/>
      <c r="R63" s="138" t="n"/>
      <c r="S63" s="139" t="n"/>
      <c r="U63" s="138" t="n"/>
    </row>
    <row r="64">
      <c r="A64" s="139" t="n"/>
      <c r="R64" s="138" t="n"/>
      <c r="S64" s="139" t="n"/>
      <c r="U64" s="138" t="n"/>
    </row>
    <row r="65">
      <c r="A65" s="139" t="n"/>
      <c r="R65" s="138" t="n"/>
      <c r="S65" s="139" t="n"/>
      <c r="U65" s="138" t="n"/>
    </row>
    <row r="66">
      <c r="A66" s="139" t="n"/>
      <c r="R66" s="138" t="n"/>
      <c r="S66" s="139" t="n"/>
      <c r="U66" s="138" t="n"/>
    </row>
    <row r="67">
      <c r="A67" s="139" t="n"/>
      <c r="R67" s="138" t="n"/>
      <c r="S67" s="139" t="n"/>
      <c r="U67" s="138" t="n"/>
    </row>
    <row r="68">
      <c r="A68" s="139" t="n"/>
      <c r="R68" s="138" t="n"/>
      <c r="S68" s="139" t="n"/>
      <c r="U68" s="138" t="n"/>
    </row>
    <row r="69">
      <c r="A69" s="139" t="n"/>
      <c r="R69" s="138" t="n"/>
      <c r="S69" s="139" t="n"/>
      <c r="U69" s="138" t="n"/>
    </row>
    <row r="70">
      <c r="A70" s="139" t="n"/>
      <c r="R70" s="138" t="n"/>
      <c r="S70" s="139" t="n"/>
      <c r="U70" s="138" t="n"/>
    </row>
    <row r="71">
      <c r="A71" s="139" t="n"/>
      <c r="R71" s="138" t="n"/>
      <c r="S71" s="139" t="n"/>
      <c r="U71" s="138" t="n"/>
    </row>
    <row r="72">
      <c r="A72" s="139" t="n"/>
      <c r="R72" s="138" t="n"/>
      <c r="S72" s="139" t="n"/>
      <c r="U72" s="138" t="n"/>
    </row>
    <row r="73">
      <c r="A73" s="139" t="n"/>
      <c r="R73" s="138" t="n"/>
      <c r="S73" s="139" t="n"/>
      <c r="U73" s="138" t="n"/>
    </row>
    <row r="74">
      <c r="A74" s="139" t="n"/>
      <c r="R74" s="138" t="n"/>
      <c r="S74" s="139" t="n"/>
      <c r="U74" s="138" t="n"/>
    </row>
    <row r="75">
      <c r="A75" s="139" t="n"/>
      <c r="R75" s="138" t="n"/>
      <c r="S75" s="139" t="n"/>
      <c r="U75" s="138" t="n"/>
    </row>
    <row r="76">
      <c r="A76" s="139" t="n"/>
      <c r="R76" s="138" t="n"/>
      <c r="S76" s="139" t="n"/>
      <c r="U76" s="138" t="n"/>
    </row>
    <row r="77">
      <c r="A77" s="139" t="n"/>
      <c r="R77" s="138" t="n"/>
      <c r="S77" s="139" t="n"/>
      <c r="U77" s="138" t="n"/>
    </row>
    <row r="78">
      <c r="A78" s="139" t="n"/>
      <c r="R78" s="138" t="n"/>
      <c r="S78" s="139" t="n"/>
      <c r="U78" s="138" t="n"/>
    </row>
    <row r="79">
      <c r="A79" s="139" t="n"/>
      <c r="R79" s="138" t="n"/>
      <c r="S79" s="139" t="n"/>
      <c r="U79" s="138" t="n"/>
    </row>
    <row r="80">
      <c r="A80" s="139" t="n"/>
      <c r="R80" s="138" t="n"/>
      <c r="S80" s="139" t="n"/>
      <c r="U80" s="138" t="n"/>
    </row>
    <row r="81">
      <c r="A81" s="139" t="n"/>
      <c r="R81" s="138" t="n"/>
      <c r="S81" s="139" t="n"/>
      <c r="U81" s="138" t="n"/>
    </row>
    <row r="82">
      <c r="A82" s="139" t="n"/>
      <c r="R82" s="138" t="n"/>
      <c r="S82" s="139" t="n"/>
      <c r="U82" s="138" t="n"/>
    </row>
    <row r="83">
      <c r="A83" s="139" t="n"/>
      <c r="R83" s="138" t="n"/>
      <c r="S83" s="139" t="n"/>
      <c r="U83" s="138" t="n"/>
    </row>
    <row r="84">
      <c r="A84" s="139" t="n"/>
      <c r="R84" s="138" t="n"/>
      <c r="S84" s="139" t="n"/>
      <c r="U84" s="138" t="n"/>
    </row>
    <row r="85">
      <c r="A85" s="139" t="n"/>
      <c r="R85" s="138" t="n"/>
      <c r="S85" s="139" t="n"/>
      <c r="U85" s="138" t="n"/>
    </row>
    <row r="86">
      <c r="A86" s="139" t="n"/>
      <c r="R86" s="138" t="n"/>
      <c r="S86" s="139" t="n"/>
      <c r="U86" s="138" t="n"/>
    </row>
    <row r="87">
      <c r="A87" s="139" t="n"/>
      <c r="R87" s="138" t="n"/>
      <c r="S87" s="139" t="n"/>
      <c r="U87" s="138" t="n"/>
    </row>
    <row r="88">
      <c r="A88" s="139" t="n"/>
      <c r="R88" s="138" t="n"/>
      <c r="S88" s="139" t="n"/>
      <c r="U88" s="138" t="n"/>
    </row>
    <row r="89">
      <c r="A89" s="139" t="n"/>
      <c r="R89" s="138" t="n"/>
      <c r="S89" s="139" t="n"/>
      <c r="U89" s="138" t="n"/>
    </row>
    <row r="90">
      <c r="A90" s="139" t="n"/>
      <c r="R90" s="138" t="n"/>
      <c r="S90" s="139" t="n"/>
      <c r="U90" s="138" t="n"/>
    </row>
    <row r="91">
      <c r="A91" s="139" t="n"/>
      <c r="R91" s="138" t="n"/>
      <c r="S91" s="139" t="n"/>
      <c r="U91" s="138" t="n"/>
    </row>
    <row r="92">
      <c r="A92" s="139" t="n"/>
      <c r="R92" s="138" t="n"/>
      <c r="S92" s="139" t="n"/>
      <c r="U92" s="138" t="n"/>
    </row>
    <row r="93">
      <c r="A93" s="139" t="n"/>
      <c r="R93" s="138" t="n"/>
      <c r="S93" s="139" t="n"/>
      <c r="U93" s="138" t="n"/>
    </row>
    <row r="94">
      <c r="A94" s="139" t="n"/>
      <c r="R94" s="138" t="n"/>
      <c r="S94" s="139" t="n"/>
      <c r="U94" s="138" t="n"/>
    </row>
    <row r="95">
      <c r="A95" s="139" t="n"/>
      <c r="R95" s="138" t="n"/>
      <c r="S95" s="139" t="n"/>
      <c r="U95" s="138" t="n"/>
    </row>
    <row r="96">
      <c r="A96" s="139" t="n"/>
      <c r="R96" s="138" t="n"/>
      <c r="S96" s="139" t="n"/>
      <c r="U96" s="138" t="n"/>
    </row>
    <row r="97">
      <c r="A97" s="139" t="n"/>
      <c r="R97" s="138" t="n"/>
      <c r="S97" s="139" t="n"/>
      <c r="U97" s="138" t="n"/>
    </row>
    <row r="98">
      <c r="A98" s="139" t="n"/>
      <c r="R98" s="138" t="n"/>
      <c r="S98" s="139" t="n"/>
      <c r="U98" s="138" t="n"/>
    </row>
    <row r="99">
      <c r="A99" s="139" t="n"/>
      <c r="R99" s="138" t="n"/>
      <c r="S99" s="139" t="n"/>
      <c r="U99" s="138" t="n"/>
    </row>
    <row r="100">
      <c r="A100" s="139" t="n"/>
      <c r="R100" s="138" t="n"/>
      <c r="S100" s="139" t="n"/>
      <c r="U100" s="138" t="n"/>
    </row>
    <row r="101">
      <c r="A101" s="139" t="n"/>
      <c r="R101" s="138" t="n"/>
      <c r="S101" s="139" t="n"/>
      <c r="U101" s="138" t="n"/>
    </row>
    <row r="102">
      <c r="A102" s="139" t="n"/>
      <c r="R102" s="138" t="n"/>
      <c r="S102" s="139" t="n"/>
      <c r="U102" s="138" t="n"/>
    </row>
    <row r="103">
      <c r="A103" s="139" t="n"/>
      <c r="R103" s="138" t="n"/>
      <c r="S103" s="139" t="n"/>
      <c r="U103" s="138" t="n"/>
    </row>
    <row r="104">
      <c r="A104" s="139" t="n"/>
      <c r="R104" s="138" t="n"/>
      <c r="S104" s="139" t="n"/>
      <c r="U104" s="138" t="n"/>
    </row>
    <row r="105">
      <c r="A105" s="139" t="n"/>
      <c r="R105" s="138" t="n"/>
      <c r="S105" s="139" t="n"/>
      <c r="U105" s="138" t="n"/>
    </row>
    <row r="106">
      <c r="A106" s="139" t="n"/>
      <c r="R106" s="138" t="n"/>
      <c r="S106" s="139" t="n"/>
      <c r="U106" s="138" t="n"/>
    </row>
    <row r="107">
      <c r="A107" s="139" t="n"/>
      <c r="R107" s="138" t="n"/>
      <c r="S107" s="139" t="n"/>
      <c r="U107" s="138" t="n"/>
    </row>
    <row r="108">
      <c r="A108" s="139" t="n"/>
      <c r="R108" s="138" t="n"/>
      <c r="S108" s="139" t="n"/>
      <c r="U108" s="138" t="n"/>
    </row>
    <row r="109">
      <c r="A109" s="139" t="n"/>
      <c r="R109" s="138" t="n"/>
      <c r="S109" s="139" t="n"/>
      <c r="U109" s="138" t="n"/>
    </row>
    <row r="110">
      <c r="A110" s="139" t="n"/>
      <c r="R110" s="138" t="n"/>
      <c r="S110" s="139" t="n"/>
      <c r="U110" s="138" t="n"/>
    </row>
    <row r="111">
      <c r="A111" s="139" t="n"/>
      <c r="R111" s="138" t="n"/>
      <c r="S111" s="139" t="n"/>
      <c r="U111" s="138" t="n"/>
    </row>
    <row r="112">
      <c r="A112" s="139" t="n"/>
      <c r="R112" s="138" t="n"/>
      <c r="S112" s="139" t="n"/>
      <c r="U112" s="138" t="n"/>
    </row>
    <row r="113">
      <c r="A113" s="139" t="n"/>
      <c r="R113" s="138" t="n"/>
      <c r="S113" s="139" t="n"/>
      <c r="U113" s="138" t="n"/>
    </row>
    <row r="114">
      <c r="A114" s="139" t="n"/>
      <c r="R114" s="138" t="n"/>
      <c r="S114" s="139" t="n"/>
      <c r="U114" s="138" t="n"/>
    </row>
    <row r="115">
      <c r="A115" s="139" t="n"/>
      <c r="R115" s="138" t="n"/>
      <c r="S115" s="139" t="n"/>
      <c r="U115" s="138" t="n"/>
    </row>
    <row r="116">
      <c r="A116" s="139" t="n"/>
      <c r="R116" s="138" t="n"/>
      <c r="S116" s="139" t="n"/>
      <c r="U116" s="138" t="n"/>
    </row>
    <row r="117">
      <c r="A117" s="139" t="n"/>
      <c r="R117" s="138" t="n"/>
      <c r="S117" s="139" t="n"/>
      <c r="U117" s="138" t="n"/>
    </row>
    <row r="118">
      <c r="A118" s="139" t="n"/>
      <c r="R118" s="138" t="n"/>
      <c r="S118" s="139" t="n"/>
      <c r="U118" s="138" t="n"/>
    </row>
    <row r="119">
      <c r="A119" s="139" t="n"/>
      <c r="R119" s="138" t="n"/>
      <c r="S119" s="139" t="n"/>
      <c r="U119" s="138" t="n"/>
    </row>
    <row r="120">
      <c r="A120" s="139" t="n"/>
      <c r="R120" s="138" t="n"/>
      <c r="S120" s="139" t="n"/>
      <c r="U120" s="138" t="n"/>
    </row>
    <row r="121">
      <c r="A121" s="139" t="n"/>
      <c r="R121" s="138" t="n"/>
      <c r="S121" s="139" t="n"/>
      <c r="U121" s="138" t="n"/>
    </row>
    <row r="122">
      <c r="A122" s="139" t="n"/>
      <c r="R122" s="138" t="n"/>
      <c r="S122" s="139" t="n"/>
      <c r="U122" s="138" t="n"/>
    </row>
    <row r="123">
      <c r="A123" s="139" t="n"/>
      <c r="R123" s="138" t="n"/>
      <c r="S123" s="139" t="n"/>
      <c r="U123" s="138" t="n"/>
    </row>
    <row r="124">
      <c r="A124" s="139" t="n"/>
      <c r="R124" s="138" t="n"/>
      <c r="S124" s="139" t="n"/>
      <c r="U124" s="138" t="n"/>
    </row>
    <row r="125">
      <c r="A125" s="139" t="n"/>
      <c r="R125" s="138" t="n"/>
      <c r="S125" s="139" t="n"/>
      <c r="U125" s="138" t="n"/>
    </row>
    <row r="126">
      <c r="A126" s="139" t="n"/>
      <c r="R126" s="138" t="n"/>
      <c r="S126" s="139" t="n"/>
      <c r="U126" s="138" t="n"/>
    </row>
    <row r="127">
      <c r="A127" s="139" t="n"/>
      <c r="R127" s="138" t="n"/>
      <c r="S127" s="139" t="n"/>
      <c r="U127" s="138" t="n"/>
    </row>
    <row r="128">
      <c r="A128" s="139" t="n"/>
      <c r="R128" s="138" t="n"/>
      <c r="S128" s="139" t="n"/>
      <c r="U128" s="138" t="n"/>
    </row>
    <row r="129">
      <c r="A129" s="139" t="n"/>
      <c r="R129" s="138" t="n"/>
      <c r="S129" s="139" t="n"/>
      <c r="U129" s="138" t="n"/>
    </row>
    <row r="130">
      <c r="A130" s="139" t="n"/>
      <c r="R130" s="138" t="n"/>
      <c r="S130" s="139" t="n"/>
      <c r="U130" s="138" t="n"/>
    </row>
    <row r="131">
      <c r="A131" s="139" t="n"/>
      <c r="R131" s="138" t="n"/>
      <c r="S131" s="139" t="n"/>
      <c r="U131" s="138" t="n"/>
    </row>
    <row r="132">
      <c r="A132" s="139" t="n"/>
      <c r="R132" s="138" t="n"/>
      <c r="S132" s="139" t="n"/>
      <c r="U132" s="138" t="n"/>
    </row>
    <row r="133">
      <c r="A133" s="139" t="n"/>
      <c r="R133" s="138" t="n"/>
      <c r="S133" s="139" t="n"/>
      <c r="U133" s="138" t="n"/>
    </row>
    <row r="134">
      <c r="A134" s="139" t="n"/>
      <c r="R134" s="138" t="n"/>
      <c r="S134" s="139" t="n"/>
      <c r="U134" s="138" t="n"/>
    </row>
    <row r="135">
      <c r="A135" s="139" t="n"/>
      <c r="R135" s="138" t="n"/>
      <c r="S135" s="139" t="n"/>
      <c r="U135" s="138" t="n"/>
    </row>
    <row r="136">
      <c r="A136" s="139" t="n"/>
      <c r="R136" s="138" t="n"/>
      <c r="S136" s="139" t="n"/>
      <c r="U136" s="138" t="n"/>
    </row>
    <row r="137">
      <c r="A137" s="139" t="n"/>
      <c r="R137" s="138" t="n"/>
      <c r="S137" s="139" t="n"/>
      <c r="U137" s="138" t="n"/>
    </row>
    <row r="138">
      <c r="A138" s="139" t="n"/>
      <c r="R138" s="138" t="n"/>
      <c r="S138" s="139" t="n"/>
      <c r="U138" s="138" t="n"/>
    </row>
    <row r="139">
      <c r="A139" s="139" t="n"/>
      <c r="R139" s="138" t="n"/>
      <c r="S139" s="139" t="n"/>
      <c r="U139" s="138" t="n"/>
    </row>
    <row r="140">
      <c r="A140" s="139" t="n"/>
      <c r="R140" s="138" t="n"/>
      <c r="S140" s="139" t="n"/>
      <c r="U140" s="138" t="n"/>
    </row>
    <row r="141">
      <c r="A141" s="139" t="n"/>
      <c r="R141" s="138" t="n"/>
      <c r="S141" s="139" t="n"/>
      <c r="U141" s="138" t="n"/>
    </row>
    <row r="142">
      <c r="A142" s="139" t="n"/>
      <c r="R142" s="138" t="n"/>
      <c r="S142" s="139" t="n"/>
      <c r="U142" s="138" t="n"/>
    </row>
    <row r="143">
      <c r="A143" s="139" t="n"/>
      <c r="R143" s="138" t="n"/>
      <c r="S143" s="139" t="n"/>
      <c r="U143" s="138" t="n"/>
    </row>
    <row r="144">
      <c r="A144" s="139" t="n"/>
      <c r="R144" s="138" t="n"/>
      <c r="S144" s="139" t="n"/>
      <c r="U144" s="138" t="n"/>
    </row>
    <row r="145">
      <c r="A145" s="139" t="n"/>
      <c r="R145" s="138" t="n"/>
      <c r="S145" s="139" t="n"/>
      <c r="U145" s="138" t="n"/>
    </row>
    <row r="146">
      <c r="A146" s="139" t="n"/>
      <c r="R146" s="138" t="n"/>
      <c r="S146" s="139" t="n"/>
      <c r="U146" s="138" t="n"/>
    </row>
    <row r="147">
      <c r="A147" s="139" t="n"/>
      <c r="R147" s="138" t="n"/>
      <c r="S147" s="139" t="n"/>
      <c r="U147" s="138" t="n"/>
    </row>
    <row r="148">
      <c r="A148" s="139" t="n"/>
      <c r="R148" s="138" t="n"/>
      <c r="S148" s="139" t="n"/>
      <c r="U148" s="138" t="n"/>
    </row>
    <row r="149">
      <c r="A149" s="139" t="n"/>
      <c r="R149" s="138" t="n"/>
      <c r="S149" s="139" t="n"/>
      <c r="U149" s="138" t="n"/>
    </row>
    <row r="150">
      <c r="A150" s="139" t="n"/>
      <c r="R150" s="138" t="n"/>
      <c r="S150" s="139" t="n"/>
      <c r="U150" s="138" t="n"/>
    </row>
    <row r="151">
      <c r="A151" s="139" t="n"/>
      <c r="R151" s="138" t="n"/>
      <c r="S151" s="139" t="n"/>
      <c r="U151" s="138" t="n"/>
    </row>
    <row r="152">
      <c r="A152" s="139" t="n"/>
      <c r="R152" s="138" t="n"/>
      <c r="S152" s="139" t="n"/>
      <c r="U152" s="138" t="n"/>
    </row>
    <row r="153">
      <c r="A153" s="139" t="n"/>
      <c r="R153" s="138" t="n"/>
      <c r="S153" s="139" t="n"/>
      <c r="U153" s="138" t="n"/>
    </row>
    <row r="154">
      <c r="A154" s="139" t="n"/>
      <c r="R154" s="138" t="n"/>
      <c r="S154" s="139" t="n"/>
      <c r="U154" s="138" t="n"/>
    </row>
    <row r="155">
      <c r="A155" s="139" t="n"/>
      <c r="R155" s="138" t="n"/>
      <c r="S155" s="139" t="n"/>
      <c r="U155" s="138" t="n"/>
    </row>
    <row r="156">
      <c r="A156" s="139" t="n"/>
      <c r="R156" s="138" t="n"/>
      <c r="S156" s="139" t="n"/>
      <c r="U156" s="138" t="n"/>
    </row>
    <row r="157">
      <c r="A157" s="139" t="n"/>
      <c r="R157" s="138" t="n"/>
      <c r="S157" s="139" t="n"/>
      <c r="U157" s="138" t="n"/>
    </row>
    <row r="158">
      <c r="A158" s="139" t="n"/>
      <c r="R158" s="138" t="n"/>
      <c r="S158" s="139" t="n"/>
      <c r="U158" s="138" t="n"/>
    </row>
    <row r="159">
      <c r="A159" s="139" t="n"/>
      <c r="R159" s="138" t="n"/>
      <c r="S159" s="139" t="n"/>
      <c r="U159" s="138" t="n"/>
    </row>
    <row r="160">
      <c r="A160" s="139" t="n"/>
      <c r="R160" s="138" t="n"/>
      <c r="S160" s="139" t="n"/>
      <c r="U160" s="138" t="n"/>
    </row>
    <row r="161">
      <c r="A161" s="139" t="n"/>
      <c r="R161" s="138" t="n"/>
      <c r="S161" s="139" t="n"/>
      <c r="U161" s="138" t="n"/>
    </row>
    <row r="162">
      <c r="A162" s="139" t="n"/>
      <c r="R162" s="138" t="n"/>
      <c r="S162" s="139" t="n"/>
      <c r="U162" s="138" t="n"/>
    </row>
    <row r="163">
      <c r="A163" s="139" t="n"/>
      <c r="R163" s="138" t="n"/>
      <c r="S163" s="139" t="n"/>
      <c r="U163" s="138" t="n"/>
    </row>
    <row r="164">
      <c r="A164" s="139" t="n"/>
      <c r="R164" s="138" t="n"/>
      <c r="S164" s="139" t="n"/>
      <c r="U164" s="138" t="n"/>
    </row>
    <row r="165">
      <c r="A165" s="139" t="n"/>
      <c r="R165" s="138" t="n"/>
      <c r="S165" s="139" t="n"/>
      <c r="U165" s="138" t="n"/>
    </row>
    <row r="166">
      <c r="A166" s="139" t="n"/>
      <c r="R166" s="138" t="n"/>
      <c r="S166" s="139" t="n"/>
      <c r="U166" s="138" t="n"/>
    </row>
    <row r="167">
      <c r="A167" s="139" t="n"/>
      <c r="R167" s="138" t="n"/>
      <c r="S167" s="139" t="n"/>
      <c r="U167" s="138" t="n"/>
    </row>
    <row r="168">
      <c r="A168" s="139" t="n"/>
      <c r="R168" s="138" t="n"/>
      <c r="S168" s="139" t="n"/>
      <c r="U168" s="138" t="n"/>
    </row>
    <row r="169">
      <c r="A169" s="139" t="n"/>
      <c r="R169" s="138" t="n"/>
      <c r="S169" s="139" t="n"/>
      <c r="U169" s="138" t="n"/>
    </row>
    <row r="170">
      <c r="A170" s="139" t="n"/>
      <c r="R170" s="138" t="n"/>
      <c r="S170" s="139" t="n"/>
      <c r="U170" s="138" t="n"/>
    </row>
    <row r="171">
      <c r="A171" s="139" t="n"/>
      <c r="R171" s="138" t="n"/>
      <c r="S171" s="139" t="n"/>
      <c r="U171" s="138" t="n"/>
    </row>
    <row r="172">
      <c r="A172" s="139" t="n"/>
      <c r="R172" s="138" t="n"/>
      <c r="S172" s="139" t="n"/>
      <c r="U172" s="138" t="n"/>
    </row>
    <row r="173">
      <c r="A173" s="139" t="n"/>
      <c r="R173" s="138" t="n"/>
      <c r="S173" s="139" t="n"/>
      <c r="U173" s="138" t="n"/>
    </row>
    <row r="174">
      <c r="A174" s="139" t="n"/>
      <c r="R174" s="138" t="n"/>
      <c r="S174" s="139" t="n"/>
      <c r="U174" s="138" t="n"/>
    </row>
    <row r="175">
      <c r="A175" s="139" t="n"/>
      <c r="R175" s="138" t="n"/>
      <c r="S175" s="139" t="n"/>
      <c r="U175" s="138" t="n"/>
    </row>
    <row r="176">
      <c r="A176" s="139" t="n"/>
      <c r="R176" s="138" t="n"/>
      <c r="S176" s="139" t="n"/>
      <c r="U176" s="138" t="n"/>
    </row>
    <row r="177">
      <c r="A177" s="139" t="n"/>
      <c r="R177" s="138" t="n"/>
      <c r="S177" s="139" t="n"/>
      <c r="U177" s="138" t="n"/>
    </row>
    <row r="178">
      <c r="A178" s="139" t="n"/>
      <c r="R178" s="138" t="n"/>
      <c r="S178" s="139" t="n"/>
      <c r="U178" s="138" t="n"/>
    </row>
    <row r="179">
      <c r="A179" s="139" t="n"/>
      <c r="R179" s="138" t="n"/>
      <c r="S179" s="139" t="n"/>
      <c r="U179" s="138" t="n"/>
    </row>
    <row r="180">
      <c r="A180" s="139" t="n"/>
      <c r="R180" s="138" t="n"/>
      <c r="S180" s="139" t="n"/>
      <c r="U180" s="138" t="n"/>
    </row>
    <row r="181">
      <c r="A181" s="139" t="n"/>
      <c r="R181" s="138" t="n"/>
      <c r="S181" s="139" t="n"/>
      <c r="U181" s="138" t="n"/>
    </row>
    <row r="182">
      <c r="A182" s="139" t="n"/>
      <c r="R182" s="138" t="n"/>
      <c r="S182" s="139" t="n"/>
      <c r="U182" s="138" t="n"/>
    </row>
    <row r="183">
      <c r="A183" s="139" t="n"/>
      <c r="R183" s="138" t="n"/>
      <c r="S183" s="139" t="n"/>
      <c r="U183" s="138" t="n"/>
    </row>
    <row r="184">
      <c r="A184" s="139" t="n"/>
      <c r="R184" s="138" t="n"/>
      <c r="S184" s="139" t="n"/>
      <c r="U184" s="138" t="n"/>
    </row>
    <row r="185">
      <c r="A185" s="139" t="n"/>
      <c r="R185" s="138" t="n"/>
      <c r="S185" s="139" t="n"/>
      <c r="U185" s="138" t="n"/>
    </row>
    <row r="186">
      <c r="A186" s="139" t="n"/>
      <c r="R186" s="138" t="n"/>
      <c r="S186" s="139" t="n"/>
      <c r="U186" s="138" t="n"/>
    </row>
    <row r="187">
      <c r="A187" s="139" t="n"/>
      <c r="R187" s="138" t="n"/>
      <c r="S187" s="139" t="n"/>
      <c r="U187" s="138" t="n"/>
    </row>
    <row r="188">
      <c r="A188" s="139" t="n"/>
      <c r="R188" s="138" t="n"/>
      <c r="S188" s="139" t="n"/>
      <c r="U188" s="138" t="n"/>
    </row>
    <row r="189">
      <c r="A189" s="139" t="n"/>
      <c r="R189" s="138" t="n"/>
      <c r="S189" s="139" t="n"/>
      <c r="U189" s="138" t="n"/>
    </row>
    <row r="190">
      <c r="A190" s="139" t="n"/>
      <c r="R190" s="138" t="n"/>
      <c r="S190" s="139" t="n"/>
      <c r="U190" s="138" t="n"/>
    </row>
    <row r="191">
      <c r="A191" s="139" t="n"/>
      <c r="R191" s="138" t="n"/>
      <c r="S191" s="139" t="n"/>
      <c r="U191" s="138" t="n"/>
    </row>
    <row r="192">
      <c r="A192" s="139" t="n"/>
      <c r="R192" s="138" t="n"/>
      <c r="S192" s="139" t="n"/>
      <c r="U192" s="138" t="n"/>
    </row>
    <row r="193">
      <c r="A193" s="139" t="n"/>
      <c r="R193" s="138" t="n"/>
      <c r="S193" s="139" t="n"/>
      <c r="U193" s="138" t="n"/>
    </row>
    <row r="194">
      <c r="A194" s="139" t="n"/>
      <c r="R194" s="138" t="n"/>
      <c r="S194" s="139" t="n"/>
      <c r="U194" s="138" t="n"/>
    </row>
    <row r="195">
      <c r="A195" s="139" t="n"/>
      <c r="R195" s="138" t="n"/>
      <c r="S195" s="139" t="n"/>
      <c r="U195" s="138" t="n"/>
    </row>
    <row r="196">
      <c r="A196" s="139" t="n"/>
      <c r="R196" s="138" t="n"/>
      <c r="S196" s="139" t="n"/>
      <c r="U196" s="138" t="n"/>
    </row>
    <row r="197">
      <c r="A197" s="139" t="n"/>
      <c r="R197" s="138" t="n"/>
      <c r="S197" s="139" t="n"/>
      <c r="U197" s="138" t="n"/>
    </row>
    <row r="198">
      <c r="A198" s="139" t="n"/>
      <c r="R198" s="138" t="n"/>
      <c r="S198" s="139" t="n"/>
      <c r="U198" s="138" t="n"/>
    </row>
    <row r="199">
      <c r="A199" s="139" t="n"/>
      <c r="R199" s="138" t="n"/>
      <c r="S199" s="139" t="n"/>
      <c r="U199" s="138" t="n"/>
    </row>
    <row r="200">
      <c r="A200" s="139" t="n"/>
      <c r="R200" s="138" t="n"/>
      <c r="S200" s="139" t="n"/>
      <c r="U200" s="138" t="n"/>
    </row>
    <row r="201">
      <c r="A201" s="139" t="n"/>
      <c r="R201" s="138" t="n"/>
      <c r="S201" s="139" t="n"/>
      <c r="U201" s="138" t="n"/>
    </row>
    <row r="202">
      <c r="A202" s="139" t="n"/>
      <c r="R202" s="138" t="n"/>
      <c r="S202" s="139" t="n"/>
      <c r="U202" s="138" t="n"/>
    </row>
    <row r="203">
      <c r="A203" s="139" t="n"/>
      <c r="R203" s="138" t="n"/>
      <c r="S203" s="139" t="n"/>
      <c r="U203" s="138" t="n"/>
    </row>
    <row r="204">
      <c r="A204" s="139" t="n"/>
      <c r="R204" s="138" t="n"/>
      <c r="S204" s="139" t="n"/>
      <c r="U204" s="138" t="n"/>
    </row>
    <row r="205">
      <c r="A205" s="139" t="n"/>
      <c r="R205" s="138" t="n"/>
      <c r="S205" s="139" t="n"/>
      <c r="U205" s="138" t="n"/>
    </row>
    <row r="206">
      <c r="A206" s="139" t="n"/>
      <c r="R206" s="138" t="n"/>
      <c r="S206" s="139" t="n"/>
      <c r="U206" s="138" t="n"/>
    </row>
    <row r="207">
      <c r="A207" s="139" t="n"/>
      <c r="R207" s="138" t="n"/>
      <c r="S207" s="139" t="n"/>
      <c r="U207" s="138" t="n"/>
    </row>
    <row r="208">
      <c r="A208" s="139" t="n"/>
      <c r="R208" s="138" t="n"/>
      <c r="S208" s="139" t="n"/>
      <c r="U208" s="138" t="n"/>
    </row>
    <row r="209">
      <c r="A209" s="139" t="n"/>
      <c r="R209" s="138" t="n"/>
      <c r="S209" s="139" t="n"/>
      <c r="U209" s="138" t="n"/>
    </row>
    <row r="210">
      <c r="A210" s="139" t="n"/>
      <c r="R210" s="138" t="n"/>
      <c r="S210" s="139" t="n"/>
      <c r="U210" s="138" t="n"/>
    </row>
    <row r="211">
      <c r="A211" s="139" t="n"/>
      <c r="R211" s="138" t="n"/>
      <c r="S211" s="139" t="n"/>
      <c r="U211" s="138" t="n"/>
    </row>
    <row r="212">
      <c r="A212" s="139" t="n"/>
      <c r="R212" s="138" t="n"/>
      <c r="S212" s="139" t="n"/>
      <c r="U212" s="138" t="n"/>
    </row>
    <row r="213">
      <c r="A213" s="139" t="n"/>
      <c r="R213" s="138" t="n"/>
      <c r="S213" s="139" t="n"/>
      <c r="U213" s="138" t="n"/>
    </row>
    <row r="214">
      <c r="A214" s="139" t="n"/>
      <c r="R214" s="138" t="n"/>
      <c r="S214" s="139" t="n"/>
      <c r="U214" s="138" t="n"/>
    </row>
    <row r="215">
      <c r="A215" s="139" t="n"/>
      <c r="R215" s="138" t="n"/>
      <c r="S215" s="139" t="n"/>
      <c r="U215" s="138" t="n"/>
    </row>
    <row r="216">
      <c r="A216" s="139" t="n"/>
      <c r="R216" s="138" t="n"/>
      <c r="S216" s="139" t="n"/>
      <c r="U216" s="138" t="n"/>
    </row>
    <row r="217">
      <c r="A217" s="139" t="n"/>
      <c r="R217" s="138" t="n"/>
      <c r="S217" s="139" t="n"/>
      <c r="U217" s="138" t="n"/>
    </row>
    <row r="218">
      <c r="A218" s="139" t="n"/>
      <c r="R218" s="138" t="n"/>
      <c r="S218" s="139" t="n"/>
      <c r="U218" s="138" t="n"/>
    </row>
    <row r="219">
      <c r="A219" s="139" t="n"/>
      <c r="R219" s="138" t="n"/>
      <c r="S219" s="139" t="n"/>
      <c r="U219" s="138" t="n"/>
    </row>
    <row r="220">
      <c r="A220" s="139" t="n"/>
      <c r="R220" s="138" t="n"/>
      <c r="S220" s="139" t="n"/>
      <c r="U220" s="138" t="n"/>
    </row>
    <row r="221">
      <c r="A221" s="139" t="n"/>
      <c r="R221" s="138" t="n"/>
      <c r="S221" s="139" t="n"/>
      <c r="U221" s="138" t="n"/>
    </row>
    <row r="222">
      <c r="A222" s="139" t="n"/>
      <c r="R222" s="138" t="n"/>
      <c r="S222" s="139" t="n"/>
      <c r="U222" s="138" t="n"/>
    </row>
    <row r="223">
      <c r="A223" s="139" t="n"/>
      <c r="R223" s="138" t="n"/>
      <c r="S223" s="139" t="n"/>
      <c r="U223" s="138" t="n"/>
    </row>
    <row r="224">
      <c r="A224" s="139" t="n"/>
      <c r="R224" s="138" t="n"/>
      <c r="S224" s="139" t="n"/>
      <c r="U224" s="138" t="n"/>
    </row>
    <row r="225">
      <c r="A225" s="139" t="n"/>
      <c r="R225" s="138" t="n"/>
      <c r="S225" s="139" t="n"/>
      <c r="U225" s="138" t="n"/>
    </row>
    <row r="226">
      <c r="A226" s="139" t="n"/>
      <c r="R226" s="138" t="n"/>
      <c r="S226" s="139" t="n"/>
      <c r="U226" s="138" t="n"/>
    </row>
    <row r="227">
      <c r="A227" s="139" t="n"/>
      <c r="R227" s="138" t="n"/>
      <c r="S227" s="139" t="n"/>
      <c r="U227" s="138" t="n"/>
    </row>
    <row r="228">
      <c r="A228" s="139" t="n"/>
      <c r="R228" s="138" t="n"/>
      <c r="S228" s="139" t="n"/>
      <c r="U228" s="138" t="n"/>
    </row>
    <row r="229">
      <c r="A229" s="139" t="n"/>
      <c r="R229" s="138" t="n"/>
      <c r="S229" s="139" t="n"/>
      <c r="U229" s="138" t="n"/>
    </row>
    <row r="230">
      <c r="A230" s="139" t="n"/>
      <c r="R230" s="138" t="n"/>
      <c r="S230" s="139" t="n"/>
      <c r="U230" s="138" t="n"/>
    </row>
    <row r="231">
      <c r="A231" s="139" t="n"/>
      <c r="R231" s="138" t="n"/>
      <c r="S231" s="139" t="n"/>
      <c r="U231" s="138" t="n"/>
    </row>
    <row r="232">
      <c r="A232" s="139" t="n"/>
      <c r="R232" s="138" t="n"/>
      <c r="S232" s="139" t="n"/>
      <c r="U232" s="138" t="n"/>
    </row>
    <row r="233">
      <c r="A233" s="139" t="n"/>
      <c r="R233" s="138" t="n"/>
      <c r="S233" s="139" t="n"/>
      <c r="U233" s="138" t="n"/>
    </row>
    <row r="234">
      <c r="A234" s="139" t="n"/>
      <c r="R234" s="138" t="n"/>
      <c r="S234" s="139" t="n"/>
      <c r="U234" s="138" t="n"/>
    </row>
    <row r="235">
      <c r="A235" s="139" t="n"/>
      <c r="R235" s="138" t="n"/>
      <c r="S235" s="139" t="n"/>
      <c r="U235" s="138" t="n"/>
    </row>
    <row r="236">
      <c r="A236" s="139" t="n"/>
      <c r="R236" s="138" t="n"/>
      <c r="S236" s="139" t="n"/>
      <c r="U236" s="138" t="n"/>
    </row>
    <row r="237">
      <c r="A237" s="139" t="n"/>
      <c r="R237" s="138" t="n"/>
      <c r="S237" s="139" t="n"/>
      <c r="U237" s="138" t="n"/>
    </row>
    <row r="238">
      <c r="A238" s="139" t="n"/>
      <c r="R238" s="138" t="n"/>
      <c r="S238" s="139" t="n"/>
      <c r="U238" s="138" t="n"/>
    </row>
    <row r="239">
      <c r="A239" s="139" t="n"/>
      <c r="R239" s="138" t="n"/>
      <c r="S239" s="139" t="n"/>
      <c r="U239" s="138" t="n"/>
    </row>
    <row r="240">
      <c r="A240" s="139" t="n"/>
      <c r="R240" s="138" t="n"/>
      <c r="S240" s="139" t="n"/>
      <c r="U240" s="138" t="n"/>
    </row>
    <row r="241">
      <c r="A241" s="139" t="n"/>
      <c r="R241" s="138" t="n"/>
      <c r="S241" s="139" t="n"/>
      <c r="U241" s="138" t="n"/>
    </row>
    <row r="242">
      <c r="A242" s="139" t="n"/>
      <c r="R242" s="138" t="n"/>
      <c r="S242" s="139" t="n"/>
      <c r="U242" s="138" t="n"/>
    </row>
    <row r="243">
      <c r="A243" s="139" t="n"/>
      <c r="R243" s="138" t="n"/>
      <c r="S243" s="139" t="n"/>
      <c r="U243" s="138" t="n"/>
    </row>
    <row r="244">
      <c r="A244" s="139" t="n"/>
      <c r="R244" s="138" t="n"/>
      <c r="S244" s="139" t="n"/>
      <c r="U244" s="138" t="n"/>
    </row>
    <row r="245">
      <c r="A245" s="139" t="n"/>
      <c r="R245" s="138" t="n"/>
      <c r="S245" s="139" t="n"/>
      <c r="U245" s="138" t="n"/>
    </row>
    <row r="246">
      <c r="A246" s="139" t="n"/>
      <c r="R246" s="138" t="n"/>
      <c r="S246" s="139" t="n"/>
      <c r="U246" s="138" t="n"/>
    </row>
    <row r="247">
      <c r="A247" s="139" t="n"/>
      <c r="R247" s="138" t="n"/>
      <c r="S247" s="139" t="n"/>
      <c r="U247" s="138" t="n"/>
    </row>
    <row r="248">
      <c r="A248" s="139" t="n"/>
      <c r="R248" s="138" t="n"/>
      <c r="S248" s="139" t="n"/>
      <c r="U248" s="138" t="n"/>
    </row>
    <row r="249">
      <c r="A249" s="139" t="n"/>
      <c r="R249" s="138" t="n"/>
      <c r="S249" s="139" t="n"/>
      <c r="U249" s="138" t="n"/>
    </row>
    <row r="250">
      <c r="A250" s="139" t="n"/>
      <c r="R250" s="138" t="n"/>
      <c r="S250" s="139" t="n"/>
      <c r="U250" s="138" t="n"/>
    </row>
    <row r="251">
      <c r="A251" s="139" t="n"/>
      <c r="R251" s="138" t="n"/>
      <c r="S251" s="139" t="n"/>
      <c r="U251" s="138" t="n"/>
    </row>
    <row r="252">
      <c r="A252" s="139" t="n"/>
      <c r="R252" s="138" t="n"/>
      <c r="S252" s="139" t="n"/>
      <c r="U252" s="138" t="n"/>
    </row>
    <row r="253">
      <c r="A253" s="139" t="n"/>
      <c r="R253" s="138" t="n"/>
      <c r="S253" s="139" t="n"/>
      <c r="U253" s="138" t="n"/>
    </row>
    <row r="254">
      <c r="A254" s="139" t="n"/>
      <c r="R254" s="138" t="n"/>
      <c r="S254" s="139" t="n"/>
      <c r="U254" s="138" t="n"/>
    </row>
    <row r="255">
      <c r="A255" s="139" t="n"/>
      <c r="R255" s="138" t="n"/>
      <c r="S255" s="139" t="n"/>
      <c r="U255" s="138" t="n"/>
    </row>
    <row r="256">
      <c r="A256" s="139" t="n"/>
      <c r="R256" s="138" t="n"/>
      <c r="S256" s="139" t="n"/>
      <c r="U256" s="138" t="n"/>
    </row>
    <row r="257">
      <c r="A257" s="139" t="n"/>
      <c r="R257" s="138" t="n"/>
      <c r="S257" s="139" t="n"/>
      <c r="U257" s="138" t="n"/>
    </row>
    <row r="258">
      <c r="A258" s="139" t="n"/>
      <c r="R258" s="138" t="n"/>
      <c r="S258" s="139" t="n"/>
      <c r="U258" s="138" t="n"/>
    </row>
    <row r="259">
      <c r="A259" s="139" t="n"/>
      <c r="R259" s="138" t="n"/>
      <c r="S259" s="139" t="n"/>
      <c r="U259" s="138" t="n"/>
    </row>
    <row r="260">
      <c r="A260" s="139" t="n"/>
      <c r="R260" s="138" t="n"/>
      <c r="S260" s="139" t="n"/>
      <c r="U260" s="138" t="n"/>
    </row>
    <row r="261">
      <c r="A261" s="139" t="n"/>
      <c r="R261" s="138" t="n"/>
      <c r="S261" s="139" t="n"/>
      <c r="U261" s="138" t="n"/>
    </row>
    <row r="262">
      <c r="A262" s="139" t="n"/>
      <c r="R262" s="138" t="n"/>
      <c r="S262" s="139" t="n"/>
      <c r="U262" s="138" t="n"/>
    </row>
    <row r="263">
      <c r="A263" s="139" t="n"/>
      <c r="R263" s="138" t="n"/>
      <c r="S263" s="139" t="n"/>
      <c r="U263" s="138" t="n"/>
    </row>
    <row r="264">
      <c r="A264" s="139" t="n"/>
      <c r="R264" s="138" t="n"/>
      <c r="S264" s="139" t="n"/>
      <c r="U264" s="138" t="n"/>
    </row>
    <row r="265">
      <c r="A265" s="139" t="n"/>
      <c r="R265" s="138" t="n"/>
      <c r="S265" s="139" t="n"/>
      <c r="U265" s="138" t="n"/>
    </row>
    <row r="266">
      <c r="A266" s="139" t="n"/>
      <c r="R266" s="138" t="n"/>
      <c r="S266" s="139" t="n"/>
      <c r="U266" s="138" t="n"/>
    </row>
    <row r="267">
      <c r="A267" s="139" t="n"/>
      <c r="R267" s="138" t="n"/>
      <c r="S267" s="139" t="n"/>
      <c r="U267" s="138" t="n"/>
    </row>
    <row r="268">
      <c r="A268" s="139" t="n"/>
      <c r="R268" s="138" t="n"/>
      <c r="S268" s="139" t="n"/>
      <c r="U268" s="138" t="n"/>
    </row>
    <row r="269">
      <c r="A269" s="139" t="n"/>
      <c r="R269" s="138" t="n"/>
      <c r="S269" s="139" t="n"/>
      <c r="U269" s="138" t="n"/>
    </row>
    <row r="270">
      <c r="A270" s="139" t="n"/>
      <c r="R270" s="138" t="n"/>
      <c r="S270" s="139" t="n"/>
      <c r="U270" s="138" t="n"/>
    </row>
    <row r="271">
      <c r="A271" s="139" t="n"/>
      <c r="R271" s="138" t="n"/>
      <c r="S271" s="139" t="n"/>
      <c r="U271" s="138" t="n"/>
    </row>
    <row r="272">
      <c r="A272" s="139" t="n"/>
      <c r="R272" s="138" t="n"/>
      <c r="S272" s="139" t="n"/>
      <c r="U272" s="138" t="n"/>
    </row>
    <row r="273">
      <c r="A273" s="139" t="n"/>
      <c r="R273" s="138" t="n"/>
      <c r="S273" s="139" t="n"/>
      <c r="U273" s="138" t="n"/>
    </row>
    <row r="274">
      <c r="A274" s="139" t="n"/>
      <c r="R274" s="138" t="n"/>
      <c r="S274" s="139" t="n"/>
      <c r="U274" s="138" t="n"/>
    </row>
    <row r="275">
      <c r="A275" s="139" t="n"/>
      <c r="R275" s="138" t="n"/>
      <c r="S275" s="139" t="n"/>
      <c r="U275" s="138" t="n"/>
    </row>
    <row r="276">
      <c r="A276" s="139" t="n"/>
      <c r="R276" s="138" t="n"/>
      <c r="S276" s="139" t="n"/>
      <c r="U276" s="138" t="n"/>
    </row>
    <row r="277">
      <c r="A277" s="139" t="n"/>
      <c r="R277" s="138" t="n"/>
      <c r="S277" s="139" t="n"/>
      <c r="U277" s="138" t="n"/>
    </row>
    <row r="278">
      <c r="A278" s="139" t="n"/>
      <c r="R278" s="138" t="n"/>
      <c r="S278" s="139" t="n"/>
      <c r="U278" s="138" t="n"/>
    </row>
    <row r="279">
      <c r="A279" s="139" t="n"/>
      <c r="R279" s="138" t="n"/>
      <c r="S279" s="139" t="n"/>
      <c r="U279" s="138" t="n"/>
    </row>
    <row r="280">
      <c r="A280" s="139" t="n"/>
      <c r="R280" s="138" t="n"/>
      <c r="S280" s="139" t="n"/>
      <c r="U280" s="138" t="n"/>
    </row>
    <row r="281">
      <c r="A281" s="139" t="n"/>
      <c r="R281" s="138" t="n"/>
      <c r="S281" s="139" t="n"/>
      <c r="U281" s="138" t="n"/>
    </row>
    <row r="282">
      <c r="A282" s="139" t="n"/>
      <c r="R282" s="138" t="n"/>
      <c r="S282" s="139" t="n"/>
      <c r="U282" s="138" t="n"/>
    </row>
    <row r="283">
      <c r="A283" s="139" t="n"/>
      <c r="R283" s="138" t="n"/>
      <c r="S283" s="139" t="n"/>
      <c r="U283" s="138" t="n"/>
    </row>
    <row r="284">
      <c r="A284" s="139" t="n"/>
      <c r="R284" s="138" t="n"/>
      <c r="S284" s="139" t="n"/>
      <c r="U284" s="138" t="n"/>
    </row>
    <row r="285">
      <c r="A285" s="139" t="n"/>
      <c r="R285" s="138" t="n"/>
      <c r="S285" s="139" t="n"/>
      <c r="U285" s="138" t="n"/>
    </row>
    <row r="286">
      <c r="A286" s="139" t="n"/>
      <c r="R286" s="138" t="n"/>
      <c r="S286" s="139" t="n"/>
      <c r="U286" s="138" t="n"/>
    </row>
    <row r="287">
      <c r="A287" s="139" t="n"/>
      <c r="R287" s="138" t="n"/>
      <c r="S287" s="139" t="n"/>
      <c r="U287" s="138" t="n"/>
    </row>
    <row r="288">
      <c r="A288" s="139" t="n"/>
      <c r="R288" s="138" t="n"/>
      <c r="S288" s="139" t="n"/>
      <c r="U288" s="138" t="n"/>
    </row>
    <row r="289">
      <c r="A289" s="139" t="n"/>
      <c r="R289" s="138" t="n"/>
      <c r="S289" s="139" t="n"/>
      <c r="U289" s="138" t="n"/>
    </row>
    <row r="290">
      <c r="A290" s="139" t="n"/>
      <c r="R290" s="138" t="n"/>
      <c r="S290" s="139" t="n"/>
      <c r="U290" s="138" t="n"/>
    </row>
    <row r="291">
      <c r="A291" s="139" t="n"/>
      <c r="R291" s="138" t="n"/>
      <c r="S291" s="139" t="n"/>
      <c r="U291" s="138" t="n"/>
    </row>
    <row r="292">
      <c r="A292" s="139" t="n"/>
      <c r="R292" s="138" t="n"/>
      <c r="S292" s="139" t="n"/>
      <c r="U292" s="138" t="n"/>
    </row>
    <row r="293">
      <c r="A293" s="139" t="n"/>
      <c r="R293" s="138" t="n"/>
      <c r="S293" s="139" t="n"/>
      <c r="U293" s="138" t="n"/>
    </row>
    <row r="294">
      <c r="A294" s="139" t="n"/>
      <c r="R294" s="138" t="n"/>
      <c r="S294" s="139" t="n"/>
      <c r="U294" s="138" t="n"/>
    </row>
    <row r="295">
      <c r="A295" s="139" t="n"/>
      <c r="R295" s="138" t="n"/>
      <c r="S295" s="139" t="n"/>
      <c r="U295" s="138" t="n"/>
    </row>
    <row r="296">
      <c r="A296" s="139" t="n"/>
      <c r="R296" s="138" t="n"/>
      <c r="S296" s="139" t="n"/>
      <c r="U296" s="138" t="n"/>
    </row>
    <row r="297">
      <c r="A297" s="139" t="n"/>
      <c r="R297" s="138" t="n"/>
      <c r="S297" s="139" t="n"/>
      <c r="U297" s="138" t="n"/>
    </row>
    <row r="298">
      <c r="A298" s="139" t="n"/>
      <c r="R298" s="138" t="n"/>
      <c r="S298" s="139" t="n"/>
      <c r="U298" s="138" t="n"/>
    </row>
    <row r="299">
      <c r="A299" s="139" t="n"/>
      <c r="R299" s="138" t="n"/>
      <c r="S299" s="139" t="n"/>
      <c r="U299" s="138" t="n"/>
    </row>
    <row r="300">
      <c r="A300" s="139" t="n"/>
      <c r="R300" s="138" t="n"/>
      <c r="S300" s="139" t="n"/>
      <c r="U300" s="138" t="n"/>
    </row>
    <row r="301">
      <c r="A301" s="139" t="n"/>
      <c r="R301" s="138" t="n"/>
      <c r="S301" s="139" t="n"/>
      <c r="U301" s="138" t="n"/>
    </row>
    <row r="302">
      <c r="A302" s="139" t="n"/>
      <c r="R302" s="138" t="n"/>
      <c r="S302" s="139" t="n"/>
      <c r="U302" s="138" t="n"/>
    </row>
    <row r="303">
      <c r="A303" s="139" t="n"/>
      <c r="R303" s="138" t="n"/>
      <c r="S303" s="139" t="n"/>
      <c r="U303" s="138" t="n"/>
    </row>
    <row r="304">
      <c r="A304" s="139" t="n"/>
      <c r="R304" s="138" t="n"/>
      <c r="S304" s="139" t="n"/>
      <c r="U304" s="138" t="n"/>
    </row>
    <row r="305">
      <c r="A305" s="139" t="n"/>
      <c r="R305" s="138" t="n"/>
      <c r="S305" s="139" t="n"/>
      <c r="U305" s="138" t="n"/>
    </row>
    <row r="306">
      <c r="A306" s="139" t="n"/>
      <c r="R306" s="138" t="n"/>
      <c r="S306" s="139" t="n"/>
      <c r="U306" s="138" t="n"/>
    </row>
    <row r="307">
      <c r="A307" s="139" t="n"/>
      <c r="R307" s="138" t="n"/>
      <c r="S307" s="139" t="n"/>
      <c r="U307" s="138" t="n"/>
    </row>
    <row r="308">
      <c r="A308" s="139" t="n"/>
      <c r="R308" s="138" t="n"/>
      <c r="S308" s="139" t="n"/>
      <c r="U308" s="138" t="n"/>
    </row>
    <row r="309">
      <c r="A309" s="139" t="n"/>
      <c r="R309" s="138" t="n"/>
      <c r="S309" s="139" t="n"/>
      <c r="U309" s="138" t="n"/>
    </row>
    <row r="310">
      <c r="A310" s="139" t="n"/>
      <c r="R310" s="138" t="n"/>
      <c r="S310" s="139" t="n"/>
      <c r="U310" s="138" t="n"/>
    </row>
    <row r="311">
      <c r="A311" s="139" t="n"/>
      <c r="R311" s="138" t="n"/>
      <c r="S311" s="139" t="n"/>
      <c r="U311" s="138" t="n"/>
    </row>
    <row r="312">
      <c r="A312" s="139" t="n"/>
      <c r="R312" s="138" t="n"/>
      <c r="S312" s="139" t="n"/>
      <c r="U312" s="138" t="n"/>
    </row>
    <row r="313">
      <c r="A313" s="139" t="n"/>
      <c r="R313" s="138" t="n"/>
      <c r="S313" s="139" t="n"/>
      <c r="U313" s="138" t="n"/>
    </row>
    <row r="314">
      <c r="A314" s="139" t="n"/>
      <c r="R314" s="138" t="n"/>
      <c r="S314" s="139" t="n"/>
      <c r="U314" s="138" t="n"/>
    </row>
    <row r="315">
      <c r="A315" s="139" t="n"/>
      <c r="R315" s="138" t="n"/>
      <c r="S315" s="139" t="n"/>
      <c r="U315" s="138" t="n"/>
    </row>
    <row r="316">
      <c r="A316" s="139" t="n"/>
      <c r="R316" s="138" t="n"/>
      <c r="S316" s="139" t="n"/>
      <c r="U316" s="138" t="n"/>
    </row>
    <row r="317">
      <c r="A317" s="139" t="n"/>
      <c r="R317" s="138" t="n"/>
      <c r="S317" s="139" t="n"/>
      <c r="U317" s="138" t="n"/>
    </row>
    <row r="318">
      <c r="A318" s="139" t="n"/>
      <c r="R318" s="138" t="n"/>
      <c r="S318" s="139" t="n"/>
      <c r="U318" s="138" t="n"/>
    </row>
    <row r="319">
      <c r="A319" s="139" t="n"/>
      <c r="R319" s="138" t="n"/>
      <c r="S319" s="139" t="n"/>
      <c r="U319" s="138" t="n"/>
    </row>
    <row r="320">
      <c r="A320" s="139" t="n"/>
      <c r="R320" s="138" t="n"/>
      <c r="S320" s="139" t="n"/>
      <c r="U320" s="138" t="n"/>
    </row>
    <row r="321">
      <c r="A321" s="139" t="n"/>
      <c r="R321" s="138" t="n"/>
      <c r="S321" s="139" t="n"/>
      <c r="U321" s="138" t="n"/>
    </row>
    <row r="322">
      <c r="A322" s="139" t="n"/>
      <c r="R322" s="138" t="n"/>
      <c r="S322" s="139" t="n"/>
      <c r="U322" s="138" t="n"/>
    </row>
    <row r="323">
      <c r="A323" s="139" t="n"/>
      <c r="R323" s="138" t="n"/>
      <c r="S323" s="139" t="n"/>
      <c r="U323" s="138" t="n"/>
    </row>
    <row r="324">
      <c r="A324" s="139" t="n"/>
      <c r="R324" s="138" t="n"/>
      <c r="S324" s="139" t="n"/>
      <c r="U324" s="138" t="n"/>
    </row>
    <row r="325">
      <c r="A325" s="139" t="n"/>
      <c r="R325" s="138" t="n"/>
      <c r="S325" s="139" t="n"/>
      <c r="U325" s="138" t="n"/>
    </row>
    <row r="326">
      <c r="A326" s="139" t="n"/>
      <c r="R326" s="138" t="n"/>
      <c r="S326" s="139" t="n"/>
      <c r="U326" s="138" t="n"/>
    </row>
    <row r="327">
      <c r="A327" s="139" t="n"/>
      <c r="R327" s="138" t="n"/>
      <c r="S327" s="139" t="n"/>
      <c r="U327" s="138" t="n"/>
    </row>
    <row r="328">
      <c r="A328" s="139" t="n"/>
      <c r="R328" s="138" t="n"/>
      <c r="S328" s="139" t="n"/>
      <c r="U328" s="138" t="n"/>
    </row>
    <row r="329">
      <c r="A329" s="139" t="n"/>
      <c r="R329" s="138" t="n"/>
      <c r="S329" s="139" t="n"/>
      <c r="U329" s="138" t="n"/>
    </row>
    <row r="330">
      <c r="A330" s="139" t="n"/>
      <c r="R330" s="138" t="n"/>
      <c r="S330" s="139" t="n"/>
      <c r="U330" s="138" t="n"/>
    </row>
    <row r="331">
      <c r="A331" s="139" t="n"/>
      <c r="R331" s="138" t="n"/>
      <c r="S331" s="139" t="n"/>
      <c r="U331" s="138" t="n"/>
    </row>
    <row r="332">
      <c r="A332" s="139" t="n"/>
      <c r="R332" s="138" t="n"/>
      <c r="S332" s="139" t="n"/>
      <c r="U332" s="138" t="n"/>
    </row>
    <row r="333">
      <c r="A333" s="139" t="n"/>
      <c r="R333" s="138" t="n"/>
      <c r="S333" s="139" t="n"/>
      <c r="U333" s="138" t="n"/>
    </row>
    <row r="334">
      <c r="A334" s="139" t="n"/>
      <c r="R334" s="138" t="n"/>
      <c r="S334" s="139" t="n"/>
      <c r="U334" s="138" t="n"/>
    </row>
    <row r="335">
      <c r="A335" s="139" t="n"/>
      <c r="R335" s="138" t="n"/>
      <c r="S335" s="139" t="n"/>
      <c r="U335" s="138" t="n"/>
    </row>
    <row r="336">
      <c r="A336" s="139" t="n"/>
      <c r="R336" s="138" t="n"/>
      <c r="S336" s="139" t="n"/>
      <c r="U336" s="138" t="n"/>
    </row>
    <row r="337">
      <c r="A337" s="139" t="n"/>
      <c r="R337" s="138" t="n"/>
      <c r="S337" s="139" t="n"/>
      <c r="U337" s="138" t="n"/>
    </row>
    <row r="338">
      <c r="A338" s="139" t="n"/>
      <c r="R338" s="138" t="n"/>
      <c r="S338" s="139" t="n"/>
      <c r="U338" s="138" t="n"/>
    </row>
    <row r="339">
      <c r="A339" s="139" t="n"/>
      <c r="R339" s="138" t="n"/>
      <c r="S339" s="139" t="n"/>
      <c r="U339" s="138" t="n"/>
    </row>
    <row r="340">
      <c r="A340" s="139" t="n"/>
      <c r="R340" s="138" t="n"/>
      <c r="S340" s="139" t="n"/>
      <c r="U340" s="138" t="n"/>
    </row>
    <row r="341">
      <c r="A341" s="139" t="n"/>
      <c r="R341" s="138" t="n"/>
      <c r="S341" s="139" t="n"/>
      <c r="U341" s="138" t="n"/>
    </row>
    <row r="342">
      <c r="A342" s="139" t="n"/>
      <c r="R342" s="138" t="n"/>
      <c r="S342" s="139" t="n"/>
      <c r="U342" s="138" t="n"/>
    </row>
    <row r="343">
      <c r="A343" s="139" t="n"/>
      <c r="R343" s="138" t="n"/>
      <c r="S343" s="139" t="n"/>
      <c r="U343" s="138" t="n"/>
    </row>
    <row r="344">
      <c r="A344" s="139" t="n"/>
      <c r="R344" s="138" t="n"/>
      <c r="S344" s="139" t="n"/>
      <c r="U344" s="138" t="n"/>
    </row>
    <row r="345">
      <c r="A345" s="139" t="n"/>
      <c r="R345" s="138" t="n"/>
      <c r="S345" s="139" t="n"/>
      <c r="U345" s="138" t="n"/>
    </row>
    <row r="346">
      <c r="A346" s="139" t="n"/>
      <c r="R346" s="138" t="n"/>
      <c r="S346" s="139" t="n"/>
      <c r="U346" s="138" t="n"/>
    </row>
    <row r="347">
      <c r="A347" s="139" t="n"/>
      <c r="R347" s="138" t="n"/>
      <c r="S347" s="139" t="n"/>
      <c r="U347" s="138" t="n"/>
    </row>
    <row r="348">
      <c r="A348" s="139" t="n"/>
      <c r="R348" s="138" t="n"/>
      <c r="S348" s="139" t="n"/>
      <c r="U348" s="138" t="n"/>
    </row>
    <row r="349">
      <c r="A349" s="139" t="n"/>
      <c r="R349" s="138" t="n"/>
      <c r="S349" s="139" t="n"/>
      <c r="U349" s="138" t="n"/>
    </row>
    <row r="350">
      <c r="A350" s="139" t="n"/>
      <c r="R350" s="138" t="n"/>
      <c r="S350" s="139" t="n"/>
      <c r="U350" s="138" t="n"/>
    </row>
    <row r="351">
      <c r="A351" s="139" t="n"/>
      <c r="R351" s="138" t="n"/>
      <c r="S351" s="139" t="n"/>
      <c r="U351" s="138" t="n"/>
    </row>
    <row r="352">
      <c r="A352" s="139" t="n"/>
      <c r="R352" s="138" t="n"/>
      <c r="S352" s="139" t="n"/>
      <c r="U352" s="138" t="n"/>
    </row>
    <row r="353">
      <c r="A353" s="139" t="n"/>
      <c r="R353" s="138" t="n"/>
      <c r="S353" s="139" t="n"/>
      <c r="U353" s="138" t="n"/>
    </row>
    <row r="354">
      <c r="A354" s="139" t="n"/>
      <c r="R354" s="138" t="n"/>
      <c r="S354" s="139" t="n"/>
      <c r="U354" s="138" t="n"/>
    </row>
    <row r="355">
      <c r="A355" s="139" t="n"/>
      <c r="R355" s="138" t="n"/>
      <c r="S355" s="139" t="n"/>
      <c r="U355" s="138" t="n"/>
    </row>
    <row r="356">
      <c r="A356" s="139" t="n"/>
      <c r="R356" s="138" t="n"/>
      <c r="S356" s="139" t="n"/>
      <c r="U356" s="138" t="n"/>
    </row>
    <row r="357">
      <c r="A357" s="139" t="n"/>
      <c r="R357" s="138" t="n"/>
      <c r="S357" s="139" t="n"/>
      <c r="U357" s="138" t="n"/>
    </row>
    <row r="358">
      <c r="A358" s="139" t="n"/>
      <c r="R358" s="138" t="n"/>
      <c r="S358" s="139" t="n"/>
      <c r="U358" s="138" t="n"/>
    </row>
    <row r="359">
      <c r="A359" s="139" t="n"/>
      <c r="R359" s="138" t="n"/>
      <c r="S359" s="139" t="n"/>
      <c r="U359" s="138" t="n"/>
    </row>
    <row r="360">
      <c r="A360" s="139" t="n"/>
      <c r="R360" s="138" t="n"/>
      <c r="S360" s="139" t="n"/>
      <c r="U360" s="138" t="n"/>
    </row>
    <row r="361">
      <c r="A361" s="139" t="n"/>
      <c r="R361" s="138" t="n"/>
      <c r="S361" s="139" t="n"/>
      <c r="U361" s="138" t="n"/>
    </row>
    <row r="362">
      <c r="A362" s="139" t="n"/>
      <c r="R362" s="138" t="n"/>
      <c r="S362" s="139" t="n"/>
      <c r="U362" s="138" t="n"/>
    </row>
    <row r="363">
      <c r="A363" s="139" t="n"/>
      <c r="R363" s="138" t="n"/>
      <c r="S363" s="139" t="n"/>
      <c r="U363" s="138" t="n"/>
    </row>
    <row r="364">
      <c r="A364" s="139" t="n"/>
      <c r="R364" s="138" t="n"/>
      <c r="S364" s="139" t="n"/>
      <c r="U364" s="138" t="n"/>
    </row>
    <row r="365">
      <c r="A365" s="139" t="n"/>
      <c r="R365" s="138" t="n"/>
      <c r="S365" s="139" t="n"/>
      <c r="U365" s="138" t="n"/>
    </row>
    <row r="366">
      <c r="A366" s="139" t="n"/>
      <c r="R366" s="138" t="n"/>
      <c r="S366" s="139" t="n"/>
      <c r="U366" s="138" t="n"/>
    </row>
    <row r="367">
      <c r="A367" s="139" t="n"/>
      <c r="R367" s="138" t="n"/>
      <c r="S367" s="139" t="n"/>
      <c r="U367" s="138" t="n"/>
    </row>
    <row r="368">
      <c r="A368" s="139" t="n"/>
      <c r="R368" s="138" t="n"/>
      <c r="S368" s="139" t="n"/>
      <c r="U368" s="138" t="n"/>
    </row>
    <row r="369">
      <c r="A369" s="139" t="n"/>
      <c r="R369" s="138" t="n"/>
      <c r="S369" s="139" t="n"/>
      <c r="U369" s="138" t="n"/>
    </row>
    <row r="370">
      <c r="A370" s="139" t="n"/>
      <c r="R370" s="138" t="n"/>
      <c r="S370" s="139" t="n"/>
      <c r="U370" s="138" t="n"/>
    </row>
    <row r="371">
      <c r="A371" s="139" t="n"/>
      <c r="R371" s="138" t="n"/>
      <c r="S371" s="139" t="n"/>
      <c r="U371" s="138" t="n"/>
    </row>
    <row r="372">
      <c r="A372" s="139" t="n"/>
      <c r="R372" s="138" t="n"/>
      <c r="S372" s="139" t="n"/>
      <c r="U372" s="138" t="n"/>
    </row>
    <row r="373">
      <c r="A373" s="139" t="n"/>
      <c r="R373" s="138" t="n"/>
      <c r="S373" s="139" t="n"/>
      <c r="U373" s="138" t="n"/>
    </row>
    <row r="374">
      <c r="A374" s="139" t="n"/>
      <c r="R374" s="138" t="n"/>
      <c r="S374" s="139" t="n"/>
      <c r="U374" s="138" t="n"/>
    </row>
    <row r="375">
      <c r="A375" s="139" t="n"/>
      <c r="R375" s="138" t="n"/>
      <c r="S375" s="139" t="n"/>
      <c r="U375" s="138" t="n"/>
    </row>
    <row r="376">
      <c r="A376" s="139" t="n"/>
      <c r="R376" s="138" t="n"/>
      <c r="S376" s="139" t="n"/>
      <c r="U376" s="138" t="n"/>
    </row>
    <row r="377">
      <c r="A377" s="139" t="n"/>
      <c r="R377" s="138" t="n"/>
      <c r="S377" s="139" t="n"/>
      <c r="U377" s="138" t="n"/>
    </row>
    <row r="378">
      <c r="A378" s="139" t="n"/>
      <c r="R378" s="138" t="n"/>
      <c r="S378" s="139" t="n"/>
      <c r="U378" s="138" t="n"/>
    </row>
    <row r="379">
      <c r="A379" s="139" t="n"/>
      <c r="R379" s="138" t="n"/>
      <c r="S379" s="139" t="n"/>
      <c r="U379" s="138" t="n"/>
    </row>
    <row r="380">
      <c r="A380" s="139" t="n"/>
      <c r="R380" s="138" t="n"/>
      <c r="S380" s="139" t="n"/>
      <c r="U380" s="138" t="n"/>
    </row>
    <row r="381">
      <c r="A381" s="139" t="n"/>
      <c r="R381" s="138" t="n"/>
      <c r="S381" s="139" t="n"/>
      <c r="U381" s="138" t="n"/>
    </row>
    <row r="382">
      <c r="A382" s="139" t="n"/>
      <c r="R382" s="138" t="n"/>
      <c r="S382" s="139" t="n"/>
      <c r="U382" s="138" t="n"/>
    </row>
    <row r="383">
      <c r="A383" s="139" t="n"/>
      <c r="R383" s="138" t="n"/>
      <c r="S383" s="139" t="n"/>
      <c r="U383" s="138" t="n"/>
    </row>
    <row r="384">
      <c r="A384" s="139" t="n"/>
      <c r="R384" s="138" t="n"/>
      <c r="S384" s="139" t="n"/>
      <c r="U384" s="138" t="n"/>
    </row>
    <row r="385">
      <c r="A385" s="139" t="n"/>
      <c r="R385" s="138" t="n"/>
      <c r="S385" s="139" t="n"/>
      <c r="U385" s="138" t="n"/>
    </row>
    <row r="386">
      <c r="A386" s="139" t="n"/>
      <c r="R386" s="138" t="n"/>
      <c r="S386" s="139" t="n"/>
      <c r="U386" s="138" t="n"/>
    </row>
    <row r="387">
      <c r="A387" s="139" t="n"/>
      <c r="R387" s="138" t="n"/>
      <c r="S387" s="139" t="n"/>
      <c r="U387" s="138" t="n"/>
    </row>
    <row r="388">
      <c r="A388" s="139" t="n"/>
      <c r="R388" s="138" t="n"/>
      <c r="S388" s="139" t="n"/>
      <c r="U388" s="138" t="n"/>
    </row>
    <row r="389">
      <c r="A389" s="139" t="n"/>
      <c r="R389" s="138" t="n"/>
      <c r="S389" s="139" t="n"/>
      <c r="U389" s="138" t="n"/>
    </row>
    <row r="390">
      <c r="A390" s="139" t="n"/>
      <c r="R390" s="138" t="n"/>
      <c r="S390" s="139" t="n"/>
      <c r="U390" s="138" t="n"/>
    </row>
    <row r="391">
      <c r="A391" s="139" t="n"/>
      <c r="R391" s="138" t="n"/>
      <c r="S391" s="139" t="n"/>
      <c r="U391" s="138" t="n"/>
    </row>
    <row r="392">
      <c r="A392" s="139" t="n"/>
      <c r="R392" s="138" t="n"/>
      <c r="S392" s="139" t="n"/>
      <c r="U392" s="138" t="n"/>
    </row>
    <row r="393">
      <c r="A393" s="139" t="n"/>
      <c r="R393" s="138" t="n"/>
      <c r="S393" s="139" t="n"/>
      <c r="U393" s="138" t="n"/>
    </row>
    <row r="394">
      <c r="A394" s="139" t="n"/>
      <c r="R394" s="138" t="n"/>
      <c r="S394" s="139" t="n"/>
      <c r="U394" s="138" t="n"/>
    </row>
    <row r="395">
      <c r="A395" s="139" t="n"/>
      <c r="R395" s="138" t="n"/>
      <c r="S395" s="139" t="n"/>
      <c r="U395" s="138" t="n"/>
    </row>
    <row r="396">
      <c r="A396" s="139" t="n"/>
      <c r="R396" s="138" t="n"/>
      <c r="S396" s="139" t="n"/>
      <c r="U396" s="138" t="n"/>
    </row>
    <row r="397">
      <c r="A397" s="139" t="n"/>
      <c r="R397" s="138" t="n"/>
      <c r="S397" s="139" t="n"/>
      <c r="U397" s="138" t="n"/>
    </row>
    <row r="398">
      <c r="A398" s="139" t="n"/>
      <c r="R398" s="138" t="n"/>
      <c r="S398" s="139" t="n"/>
      <c r="U398" s="138" t="n"/>
    </row>
    <row r="399">
      <c r="A399" s="139" t="n"/>
      <c r="R399" s="138" t="n"/>
      <c r="S399" s="139" t="n"/>
      <c r="U399" s="138" t="n"/>
    </row>
    <row r="400">
      <c r="A400" s="139" t="n"/>
      <c r="R400" s="138" t="n"/>
      <c r="S400" s="139" t="n"/>
      <c r="U400" s="138" t="n"/>
    </row>
    <row r="401">
      <c r="A401" s="139" t="n"/>
      <c r="R401" s="138" t="n"/>
      <c r="S401" s="139" t="n"/>
      <c r="U401" s="138" t="n"/>
    </row>
    <row r="402">
      <c r="A402" s="139" t="n"/>
      <c r="R402" s="138" t="n"/>
      <c r="S402" s="139" t="n"/>
      <c r="U402" s="138" t="n"/>
    </row>
    <row r="403">
      <c r="A403" s="139" t="n"/>
      <c r="R403" s="138" t="n"/>
      <c r="S403" s="139" t="n"/>
      <c r="U403" s="138" t="n"/>
    </row>
    <row r="404">
      <c r="A404" s="139" t="n"/>
      <c r="R404" s="138" t="n"/>
      <c r="S404" s="139" t="n"/>
      <c r="U404" s="138" t="n"/>
    </row>
    <row r="405">
      <c r="A405" s="139" t="n"/>
      <c r="R405" s="138" t="n"/>
      <c r="S405" s="139" t="n"/>
      <c r="U405" s="138" t="n"/>
    </row>
    <row r="406">
      <c r="A406" s="139" t="n"/>
      <c r="R406" s="138" t="n"/>
      <c r="S406" s="139" t="n"/>
      <c r="U406" s="138" t="n"/>
    </row>
    <row r="407">
      <c r="A407" s="139" t="n"/>
      <c r="R407" s="138" t="n"/>
      <c r="S407" s="139" t="n"/>
      <c r="U407" s="138" t="n"/>
    </row>
    <row r="408">
      <c r="A408" s="139" t="n"/>
      <c r="R408" s="138" t="n"/>
      <c r="S408" s="139" t="n"/>
      <c r="U408" s="138" t="n"/>
    </row>
    <row r="409">
      <c r="A409" s="139" t="n"/>
      <c r="R409" s="138" t="n"/>
      <c r="S409" s="139" t="n"/>
      <c r="U409" s="138" t="n"/>
    </row>
    <row r="410">
      <c r="A410" s="139" t="n"/>
      <c r="R410" s="138" t="n"/>
      <c r="S410" s="139" t="n"/>
      <c r="U410" s="138" t="n"/>
    </row>
    <row r="411">
      <c r="A411" s="139" t="n"/>
      <c r="R411" s="138" t="n"/>
      <c r="S411" s="139" t="n"/>
      <c r="U411" s="138" t="n"/>
    </row>
    <row r="412">
      <c r="A412" s="139" t="n"/>
      <c r="R412" s="138" t="n"/>
      <c r="S412" s="139" t="n"/>
      <c r="U412" s="138" t="n"/>
    </row>
    <row r="413">
      <c r="A413" s="139" t="n"/>
      <c r="R413" s="138" t="n"/>
      <c r="S413" s="139" t="n"/>
      <c r="U413" s="138" t="n"/>
    </row>
    <row r="414">
      <c r="A414" s="139" t="n"/>
      <c r="R414" s="138" t="n"/>
      <c r="S414" s="139" t="n"/>
      <c r="U414" s="138" t="n"/>
    </row>
    <row r="415">
      <c r="A415" s="139" t="n"/>
      <c r="R415" s="138" t="n"/>
      <c r="S415" s="139" t="n"/>
      <c r="U415" s="138" t="n"/>
    </row>
    <row r="416">
      <c r="A416" s="139" t="n"/>
      <c r="R416" s="138" t="n"/>
      <c r="S416" s="139" t="n"/>
      <c r="U416" s="138" t="n"/>
    </row>
    <row r="417">
      <c r="A417" s="139" t="n"/>
      <c r="R417" s="138" t="n"/>
      <c r="S417" s="139" t="n"/>
      <c r="U417" s="138" t="n"/>
    </row>
    <row r="418">
      <c r="A418" s="139" t="n"/>
      <c r="R418" s="138" t="n"/>
      <c r="S418" s="139" t="n"/>
      <c r="U418" s="138" t="n"/>
    </row>
    <row r="419">
      <c r="A419" s="139" t="n"/>
      <c r="R419" s="138" t="n"/>
      <c r="S419" s="139" t="n"/>
      <c r="U419" s="138" t="n"/>
    </row>
    <row r="420">
      <c r="A420" s="139" t="n"/>
      <c r="R420" s="138" t="n"/>
      <c r="S420" s="139" t="n"/>
      <c r="U420" s="138" t="n"/>
    </row>
    <row r="421">
      <c r="A421" s="139" t="n"/>
      <c r="R421" s="138" t="n"/>
      <c r="S421" s="139" t="n"/>
      <c r="U421" s="138" t="n"/>
    </row>
    <row r="422">
      <c r="A422" s="139" t="n"/>
      <c r="R422" s="138" t="n"/>
      <c r="S422" s="139" t="n"/>
      <c r="U422" s="138" t="n"/>
    </row>
    <row r="423">
      <c r="A423" s="139" t="n"/>
      <c r="R423" s="138" t="n"/>
      <c r="S423" s="139" t="n"/>
      <c r="U423" s="138" t="n"/>
    </row>
    <row r="424">
      <c r="A424" s="139" t="n"/>
      <c r="R424" s="138" t="n"/>
      <c r="S424" s="139" t="n"/>
      <c r="U424" s="138" t="n"/>
    </row>
    <row r="425">
      <c r="A425" s="139" t="n"/>
      <c r="R425" s="138" t="n"/>
      <c r="S425" s="139" t="n"/>
      <c r="U425" s="138" t="n"/>
    </row>
    <row r="426">
      <c r="A426" s="139" t="n"/>
      <c r="R426" s="138" t="n"/>
      <c r="S426" s="139" t="n"/>
      <c r="U426" s="138" t="n"/>
    </row>
    <row r="427">
      <c r="A427" s="139" t="n"/>
      <c r="R427" s="138" t="n"/>
      <c r="S427" s="139" t="n"/>
      <c r="U427" s="138" t="n"/>
    </row>
    <row r="428">
      <c r="A428" s="139" t="n"/>
      <c r="R428" s="138" t="n"/>
      <c r="S428" s="139" t="n"/>
      <c r="U428" s="138" t="n"/>
    </row>
    <row r="429">
      <c r="A429" s="139" t="n"/>
      <c r="R429" s="138" t="n"/>
      <c r="S429" s="139" t="n"/>
      <c r="U429" s="138" t="n"/>
    </row>
    <row r="430">
      <c r="A430" s="139" t="n"/>
      <c r="R430" s="138" t="n"/>
      <c r="S430" s="139" t="n"/>
      <c r="U430" s="138" t="n"/>
    </row>
    <row r="431">
      <c r="A431" s="139" t="n"/>
      <c r="R431" s="138" t="n"/>
      <c r="S431" s="139" t="n"/>
      <c r="U431" s="138" t="n"/>
    </row>
    <row r="432">
      <c r="A432" s="139" t="n"/>
      <c r="R432" s="138" t="n"/>
      <c r="S432" s="139" t="n"/>
      <c r="U432" s="138" t="n"/>
    </row>
    <row r="433">
      <c r="A433" s="139" t="n"/>
      <c r="R433" s="138" t="n"/>
      <c r="S433" s="139" t="n"/>
      <c r="U433" s="138" t="n"/>
    </row>
    <row r="434">
      <c r="A434" s="139" t="n"/>
      <c r="R434" s="138" t="n"/>
      <c r="S434" s="139" t="n"/>
      <c r="U434" s="138" t="n"/>
    </row>
    <row r="435">
      <c r="A435" s="139" t="n"/>
      <c r="R435" s="138" t="n"/>
      <c r="S435" s="139" t="n"/>
      <c r="U435" s="138" t="n"/>
    </row>
    <row r="436">
      <c r="A436" s="139" t="n"/>
      <c r="R436" s="138" t="n"/>
      <c r="S436" s="139" t="n"/>
      <c r="U436" s="138" t="n"/>
    </row>
    <row r="437">
      <c r="A437" s="139" t="n"/>
      <c r="R437" s="138" t="n"/>
      <c r="S437" s="139" t="n"/>
      <c r="U437" s="138" t="n"/>
    </row>
    <row r="438">
      <c r="A438" s="139" t="n"/>
      <c r="R438" s="138" t="n"/>
      <c r="S438" s="139" t="n"/>
      <c r="U438" s="138" t="n"/>
    </row>
    <row r="439">
      <c r="A439" s="139" t="n"/>
      <c r="R439" s="138" t="n"/>
      <c r="S439" s="139" t="n"/>
      <c r="U439" s="138" t="n"/>
    </row>
    <row r="440">
      <c r="A440" s="139" t="n"/>
      <c r="R440" s="138" t="n"/>
      <c r="S440" s="139" t="n"/>
      <c r="U440" s="138" t="n"/>
    </row>
    <row r="441">
      <c r="A441" s="139" t="n"/>
      <c r="R441" s="138" t="n"/>
      <c r="S441" s="139" t="n"/>
      <c r="U441" s="138" t="n"/>
    </row>
    <row r="442">
      <c r="A442" s="139" t="n"/>
      <c r="R442" s="138" t="n"/>
      <c r="S442" s="139" t="n"/>
      <c r="U442" s="138" t="n"/>
    </row>
    <row r="443">
      <c r="A443" s="139" t="n"/>
      <c r="R443" s="138" t="n"/>
      <c r="S443" s="139" t="n"/>
      <c r="U443" s="138" t="n"/>
    </row>
    <row r="444">
      <c r="A444" s="139" t="n"/>
      <c r="R444" s="138" t="n"/>
      <c r="S444" s="139" t="n"/>
      <c r="U444" s="138" t="n"/>
    </row>
    <row r="445">
      <c r="A445" s="139" t="n"/>
      <c r="R445" s="138" t="n"/>
      <c r="S445" s="139" t="n"/>
      <c r="U445" s="138" t="n"/>
    </row>
    <row r="446">
      <c r="A446" s="139" t="n"/>
      <c r="R446" s="138" t="n"/>
      <c r="S446" s="139" t="n"/>
      <c r="U446" s="138" t="n"/>
    </row>
    <row r="447">
      <c r="A447" s="139" t="n"/>
      <c r="R447" s="138" t="n"/>
      <c r="S447" s="139" t="n"/>
      <c r="U447" s="138" t="n"/>
    </row>
    <row r="448">
      <c r="A448" s="139" t="n"/>
      <c r="R448" s="138" t="n"/>
      <c r="S448" s="139" t="n"/>
      <c r="U448" s="138" t="n"/>
    </row>
    <row r="449">
      <c r="A449" s="139" t="n"/>
      <c r="R449" s="138" t="n"/>
      <c r="S449" s="139" t="n"/>
      <c r="U449" s="138" t="n"/>
    </row>
    <row r="450">
      <c r="A450" s="139" t="n"/>
      <c r="R450" s="138" t="n"/>
      <c r="S450" s="139" t="n"/>
      <c r="U450" s="138" t="n"/>
    </row>
    <row r="451">
      <c r="A451" s="139" t="n"/>
      <c r="R451" s="138" t="n"/>
      <c r="S451" s="139" t="n"/>
      <c r="U451" s="138" t="n"/>
    </row>
    <row r="452">
      <c r="A452" s="139" t="n"/>
      <c r="R452" s="138" t="n"/>
      <c r="S452" s="139" t="n"/>
      <c r="U452" s="138" t="n"/>
    </row>
    <row r="453">
      <c r="A453" s="139" t="n"/>
      <c r="R453" s="138" t="n"/>
      <c r="S453" s="139" t="n"/>
      <c r="U453" s="138" t="n"/>
    </row>
    <row r="454">
      <c r="A454" s="139" t="n"/>
      <c r="R454" s="138" t="n"/>
      <c r="S454" s="139" t="n"/>
      <c r="U454" s="138" t="n"/>
    </row>
    <row r="455">
      <c r="A455" s="139" t="n"/>
      <c r="R455" s="138" t="n"/>
      <c r="S455" s="139" t="n"/>
      <c r="U455" s="138" t="n"/>
    </row>
    <row r="456">
      <c r="A456" s="139" t="n"/>
      <c r="R456" s="138" t="n"/>
      <c r="S456" s="139" t="n"/>
      <c r="U456" s="138" t="n"/>
    </row>
    <row r="457">
      <c r="A457" s="139" t="n"/>
      <c r="R457" s="138" t="n"/>
      <c r="S457" s="139" t="n"/>
      <c r="U457" s="138" t="n"/>
    </row>
    <row r="458">
      <c r="A458" s="139" t="n"/>
      <c r="R458" s="138" t="n"/>
      <c r="S458" s="139" t="n"/>
      <c r="U458" s="138" t="n"/>
    </row>
    <row r="459">
      <c r="A459" s="139" t="n"/>
      <c r="R459" s="138" t="n"/>
      <c r="S459" s="139" t="n"/>
      <c r="U459" s="138" t="n"/>
    </row>
    <row r="460">
      <c r="A460" s="139" t="n"/>
      <c r="R460" s="138" t="n"/>
      <c r="S460" s="139" t="n"/>
      <c r="U460" s="138" t="n"/>
    </row>
    <row r="461">
      <c r="A461" s="139" t="n"/>
      <c r="R461" s="138" t="n"/>
      <c r="S461" s="139" t="n"/>
      <c r="U461" s="138" t="n"/>
    </row>
    <row r="462">
      <c r="A462" s="139" t="n"/>
      <c r="R462" s="138" t="n"/>
      <c r="S462" s="139" t="n"/>
      <c r="U462" s="138" t="n"/>
    </row>
    <row r="463">
      <c r="A463" s="139" t="n"/>
      <c r="R463" s="138" t="n"/>
      <c r="S463" s="139" t="n"/>
      <c r="U463" s="138" t="n"/>
    </row>
    <row r="464">
      <c r="A464" s="139" t="n"/>
      <c r="R464" s="138" t="n"/>
      <c r="S464" s="139" t="n"/>
      <c r="U464" s="138" t="n"/>
    </row>
    <row r="465">
      <c r="A465" s="139" t="n"/>
      <c r="R465" s="138" t="n"/>
      <c r="S465" s="139" t="n"/>
      <c r="U465" s="138" t="n"/>
    </row>
    <row r="466">
      <c r="A466" s="139" t="n"/>
      <c r="R466" s="138" t="n"/>
      <c r="S466" s="139" t="n"/>
      <c r="U466" s="138" t="n"/>
    </row>
    <row r="467">
      <c r="A467" s="139" t="n"/>
      <c r="R467" s="138" t="n"/>
      <c r="S467" s="139" t="n"/>
      <c r="U467" s="138" t="n"/>
    </row>
    <row r="468">
      <c r="A468" s="139" t="n"/>
      <c r="R468" s="138" t="n"/>
      <c r="S468" s="139" t="n"/>
      <c r="U468" s="138" t="n"/>
    </row>
    <row r="469">
      <c r="A469" s="139" t="n"/>
      <c r="R469" s="138" t="n"/>
      <c r="S469" s="139" t="n"/>
      <c r="U469" s="138" t="n"/>
    </row>
    <row r="470">
      <c r="A470" s="139" t="n"/>
      <c r="R470" s="138" t="n"/>
      <c r="S470" s="139" t="n"/>
      <c r="U470" s="138" t="n"/>
    </row>
    <row r="471">
      <c r="A471" s="139" t="n"/>
      <c r="R471" s="138" t="n"/>
      <c r="S471" s="139" t="n"/>
      <c r="U471" s="138" t="n"/>
    </row>
    <row r="472">
      <c r="A472" s="139" t="n"/>
      <c r="R472" s="138" t="n"/>
      <c r="S472" s="139" t="n"/>
      <c r="U472" s="138" t="n"/>
    </row>
    <row r="473">
      <c r="A473" s="139" t="n"/>
      <c r="R473" s="138" t="n"/>
      <c r="S473" s="139" t="n"/>
      <c r="U473" s="138" t="n"/>
    </row>
    <row r="474">
      <c r="A474" s="139" t="n"/>
      <c r="R474" s="138" t="n"/>
      <c r="S474" s="139" t="n"/>
      <c r="U474" s="138" t="n"/>
    </row>
    <row r="475">
      <c r="A475" s="139" t="n"/>
      <c r="R475" s="138" t="n"/>
      <c r="S475" s="139" t="n"/>
      <c r="U475" s="138" t="n"/>
    </row>
    <row r="476">
      <c r="A476" s="139" t="n"/>
      <c r="R476" s="138" t="n"/>
      <c r="S476" s="139" t="n"/>
      <c r="U476" s="138" t="n"/>
    </row>
    <row r="477">
      <c r="A477" s="139" t="n"/>
      <c r="R477" s="138" t="n"/>
      <c r="S477" s="139" t="n"/>
      <c r="U477" s="138" t="n"/>
    </row>
    <row r="478">
      <c r="A478" s="139" t="n"/>
      <c r="R478" s="138" t="n"/>
      <c r="S478" s="139" t="n"/>
      <c r="U478" s="138" t="n"/>
    </row>
    <row r="479">
      <c r="A479" s="139" t="n"/>
      <c r="R479" s="138" t="n"/>
      <c r="S479" s="139" t="n"/>
      <c r="U479" s="138" t="n"/>
    </row>
    <row r="480">
      <c r="A480" s="139" t="n"/>
      <c r="R480" s="138" t="n"/>
      <c r="S480" s="139" t="n"/>
      <c r="U480" s="138" t="n"/>
    </row>
    <row r="481">
      <c r="A481" s="139" t="n"/>
      <c r="R481" s="138" t="n"/>
      <c r="S481" s="139" t="n"/>
      <c r="U481" s="138" t="n"/>
    </row>
    <row r="482">
      <c r="A482" s="139" t="n"/>
      <c r="R482" s="138" t="n"/>
      <c r="S482" s="139" t="n"/>
      <c r="U482" s="138" t="n"/>
    </row>
    <row r="483">
      <c r="A483" s="139" t="n"/>
      <c r="R483" s="138" t="n"/>
      <c r="S483" s="139" t="n"/>
      <c r="U483" s="138" t="n"/>
    </row>
    <row r="484">
      <c r="A484" s="139" t="n"/>
      <c r="R484" s="138" t="n"/>
      <c r="S484" s="139" t="n"/>
      <c r="U484" s="138" t="n"/>
    </row>
    <row r="485">
      <c r="A485" s="139" t="n"/>
      <c r="R485" s="138" t="n"/>
      <c r="S485" s="139" t="n"/>
      <c r="U485" s="138" t="n"/>
    </row>
    <row r="486">
      <c r="A486" s="139" t="n"/>
      <c r="R486" s="138" t="n"/>
      <c r="S486" s="139" t="n"/>
      <c r="U486" s="138" t="n"/>
    </row>
    <row r="487">
      <c r="A487" s="139" t="n"/>
      <c r="R487" s="138" t="n"/>
      <c r="S487" s="139" t="n"/>
      <c r="U487" s="138" t="n"/>
    </row>
    <row r="488">
      <c r="A488" s="139" t="n"/>
      <c r="R488" s="138" t="n"/>
      <c r="S488" s="139" t="n"/>
      <c r="U488" s="138" t="n"/>
    </row>
    <row r="489">
      <c r="A489" s="139" t="n"/>
      <c r="R489" s="138" t="n"/>
      <c r="S489" s="139" t="n"/>
      <c r="U489" s="138" t="n"/>
    </row>
    <row r="490">
      <c r="A490" s="139" t="n"/>
      <c r="R490" s="138" t="n"/>
      <c r="S490" s="139" t="n"/>
      <c r="U490" s="138" t="n"/>
    </row>
    <row r="491">
      <c r="A491" s="139" t="n"/>
      <c r="R491" s="138" t="n"/>
      <c r="S491" s="139" t="n"/>
      <c r="U491" s="138" t="n"/>
    </row>
    <row r="492">
      <c r="A492" s="139" t="n"/>
      <c r="R492" s="138" t="n"/>
      <c r="S492" s="139" t="n"/>
      <c r="U492" s="138" t="n"/>
    </row>
    <row r="493">
      <c r="A493" s="139" t="n"/>
      <c r="R493" s="138" t="n"/>
      <c r="S493" s="139" t="n"/>
      <c r="U493" s="138" t="n"/>
    </row>
    <row r="494">
      <c r="A494" s="139" t="n"/>
      <c r="R494" s="138" t="n"/>
      <c r="S494" s="139" t="n"/>
      <c r="U494" s="138" t="n"/>
    </row>
    <row r="495">
      <c r="A495" s="139" t="n"/>
      <c r="R495" s="138" t="n"/>
      <c r="S495" s="139" t="n"/>
      <c r="U495" s="138" t="n"/>
    </row>
    <row r="496">
      <c r="A496" s="139" t="n"/>
      <c r="R496" s="138" t="n"/>
      <c r="S496" s="139" t="n"/>
      <c r="U496" s="138" t="n"/>
    </row>
    <row r="497">
      <c r="A497" s="139" t="n"/>
      <c r="R497" s="138" t="n"/>
      <c r="S497" s="139" t="n"/>
      <c r="U497" s="138" t="n"/>
    </row>
    <row r="498">
      <c r="A498" s="139" t="n"/>
      <c r="R498" s="138" t="n"/>
      <c r="S498" s="139" t="n"/>
      <c r="U498" s="138" t="n"/>
    </row>
    <row r="499">
      <c r="A499" s="139" t="n"/>
      <c r="R499" s="138" t="n"/>
      <c r="S499" s="139" t="n"/>
      <c r="U499" s="138" t="n"/>
    </row>
    <row r="500">
      <c r="A500" s="139" t="n"/>
      <c r="R500" s="138" t="n"/>
      <c r="S500" s="139" t="n"/>
      <c r="U500" s="138" t="n"/>
    </row>
    <row r="501">
      <c r="A501" s="139" t="n"/>
      <c r="R501" s="138" t="n"/>
      <c r="S501" s="139" t="n"/>
      <c r="U501" s="138" t="n"/>
    </row>
    <row r="502">
      <c r="A502" s="139" t="n"/>
      <c r="R502" s="138" t="n"/>
      <c r="S502" s="139" t="n"/>
      <c r="U502" s="138" t="n"/>
    </row>
    <row r="503">
      <c r="A503" s="139" t="n"/>
      <c r="R503" s="138" t="n"/>
      <c r="S503" s="139" t="n"/>
      <c r="U503" s="138" t="n"/>
    </row>
    <row r="504">
      <c r="A504" s="139" t="n"/>
      <c r="R504" s="138" t="n"/>
      <c r="S504" s="139" t="n"/>
      <c r="U504" s="138" t="n"/>
    </row>
    <row r="505">
      <c r="A505" s="139" t="n"/>
      <c r="R505" s="138" t="n"/>
      <c r="S505" s="139" t="n"/>
      <c r="U505" s="138" t="n"/>
    </row>
    <row r="506">
      <c r="A506" s="139" t="n"/>
      <c r="R506" s="138" t="n"/>
      <c r="S506" s="139" t="n"/>
      <c r="U506" s="138" t="n"/>
    </row>
    <row r="507">
      <c r="A507" s="139" t="n"/>
      <c r="R507" s="138" t="n"/>
      <c r="S507" s="139" t="n"/>
      <c r="U507" s="138" t="n"/>
    </row>
    <row r="508">
      <c r="A508" s="139" t="n"/>
      <c r="R508" s="138" t="n"/>
      <c r="S508" s="139" t="n"/>
      <c r="U508" s="138" t="n"/>
    </row>
    <row r="509">
      <c r="A509" s="139" t="n"/>
      <c r="R509" s="138" t="n"/>
      <c r="S509" s="139" t="n"/>
      <c r="U509" s="138" t="n"/>
    </row>
    <row r="510">
      <c r="A510" s="139" t="n"/>
      <c r="R510" s="138" t="n"/>
      <c r="S510" s="139" t="n"/>
      <c r="U510" s="138" t="n"/>
    </row>
    <row r="511">
      <c r="A511" s="139" t="n"/>
      <c r="R511" s="138" t="n"/>
      <c r="S511" s="139" t="n"/>
      <c r="U511" s="138" t="n"/>
    </row>
    <row r="512">
      <c r="A512" s="139" t="n"/>
      <c r="R512" s="138" t="n"/>
      <c r="S512" s="139" t="n"/>
      <c r="U512" s="138" t="n"/>
    </row>
    <row r="513">
      <c r="A513" s="139" t="n"/>
      <c r="R513" s="138" t="n"/>
      <c r="S513" s="139" t="n"/>
      <c r="U513" s="138" t="n"/>
    </row>
    <row r="514">
      <c r="A514" s="139" t="n"/>
      <c r="R514" s="138" t="n"/>
      <c r="S514" s="139" t="n"/>
      <c r="U514" s="138" t="n"/>
    </row>
    <row r="515">
      <c r="A515" s="139" t="n"/>
      <c r="R515" s="138" t="n"/>
      <c r="S515" s="139" t="n"/>
      <c r="U515" s="138" t="n"/>
    </row>
    <row r="516">
      <c r="A516" s="139" t="n"/>
      <c r="R516" s="138" t="n"/>
      <c r="S516" s="139" t="n"/>
      <c r="U516" s="138" t="n"/>
    </row>
    <row r="517">
      <c r="A517" s="139" t="n"/>
      <c r="R517" s="138" t="n"/>
      <c r="S517" s="139" t="n"/>
      <c r="U517" s="138" t="n"/>
    </row>
    <row r="518">
      <c r="A518" s="139" t="n"/>
      <c r="R518" s="138" t="n"/>
      <c r="S518" s="139" t="n"/>
      <c r="U518" s="138" t="n"/>
    </row>
    <row r="519">
      <c r="A519" s="139" t="n"/>
      <c r="R519" s="138" t="n"/>
      <c r="S519" s="139" t="n"/>
      <c r="U519" s="138" t="n"/>
    </row>
    <row r="520">
      <c r="A520" s="139" t="n"/>
      <c r="R520" s="138" t="n"/>
      <c r="S520" s="139" t="n"/>
      <c r="U520" s="138" t="n"/>
    </row>
    <row r="521">
      <c r="A521" s="139" t="n"/>
      <c r="R521" s="138" t="n"/>
      <c r="S521" s="139" t="n"/>
      <c r="U521" s="138" t="n"/>
    </row>
    <row r="522">
      <c r="A522" s="139" t="n"/>
      <c r="R522" s="138" t="n"/>
      <c r="S522" s="139" t="n"/>
      <c r="U522" s="138" t="n"/>
    </row>
    <row r="523">
      <c r="A523" s="139" t="n"/>
      <c r="R523" s="138" t="n"/>
      <c r="S523" s="139" t="n"/>
      <c r="U523" s="138" t="n"/>
    </row>
    <row r="524">
      <c r="A524" s="139" t="n"/>
      <c r="R524" s="138" t="n"/>
      <c r="S524" s="139" t="n"/>
      <c r="U524" s="138" t="n"/>
    </row>
    <row r="525">
      <c r="A525" s="139" t="n"/>
      <c r="R525" s="138" t="n"/>
      <c r="S525" s="139" t="n"/>
      <c r="U525" s="138" t="n"/>
    </row>
    <row r="526">
      <c r="A526" s="139" t="n"/>
      <c r="R526" s="138" t="n"/>
      <c r="S526" s="139" t="n"/>
      <c r="U526" s="138" t="n"/>
    </row>
    <row r="527">
      <c r="A527" s="139" t="n"/>
      <c r="R527" s="138" t="n"/>
      <c r="S527" s="139" t="n"/>
      <c r="U527" s="138" t="n"/>
    </row>
    <row r="528">
      <c r="A528" s="139" t="n"/>
      <c r="R528" s="138" t="n"/>
      <c r="S528" s="139" t="n"/>
      <c r="U528" s="138" t="n"/>
    </row>
    <row r="529">
      <c r="A529" s="139" t="n"/>
      <c r="R529" s="138" t="n"/>
      <c r="S529" s="139" t="n"/>
      <c r="U529" s="138" t="n"/>
    </row>
    <row r="530">
      <c r="A530" s="139" t="n"/>
      <c r="R530" s="138" t="n"/>
      <c r="S530" s="139" t="n"/>
      <c r="U530" s="138" t="n"/>
    </row>
    <row r="531">
      <c r="A531" s="139" t="n"/>
      <c r="R531" s="138" t="n"/>
      <c r="S531" s="139" t="n"/>
      <c r="U531" s="138" t="n"/>
    </row>
    <row r="532">
      <c r="A532" s="139" t="n"/>
      <c r="R532" s="138" t="n"/>
      <c r="S532" s="139" t="n"/>
      <c r="U532" s="138" t="n"/>
    </row>
    <row r="533">
      <c r="A533" s="139" t="n"/>
      <c r="R533" s="138" t="n"/>
      <c r="S533" s="139" t="n"/>
      <c r="U533" s="138" t="n"/>
    </row>
    <row r="534">
      <c r="A534" s="139" t="n"/>
      <c r="R534" s="138" t="n"/>
      <c r="S534" s="139" t="n"/>
      <c r="U534" s="138" t="n"/>
    </row>
    <row r="535">
      <c r="A535" s="139" t="n"/>
      <c r="R535" s="138" t="n"/>
      <c r="S535" s="139" t="n"/>
      <c r="U535" s="138" t="n"/>
    </row>
    <row r="536">
      <c r="A536" s="139" t="n"/>
      <c r="R536" s="138" t="n"/>
      <c r="S536" s="139" t="n"/>
      <c r="U536" s="138" t="n"/>
    </row>
    <row r="537">
      <c r="A537" s="139" t="n"/>
      <c r="R537" s="138" t="n"/>
      <c r="S537" s="139" t="n"/>
      <c r="U537" s="138" t="n"/>
    </row>
    <row r="538">
      <c r="A538" s="139" t="n"/>
      <c r="R538" s="138" t="n"/>
      <c r="S538" s="139" t="n"/>
      <c r="U538" s="138" t="n"/>
    </row>
    <row r="539">
      <c r="A539" s="139" t="n"/>
      <c r="R539" s="138" t="n"/>
      <c r="S539" s="139" t="n"/>
      <c r="U539" s="138" t="n"/>
    </row>
    <row r="540">
      <c r="A540" s="139" t="n"/>
      <c r="R540" s="138" t="n"/>
      <c r="S540" s="139" t="n"/>
      <c r="U540" s="138" t="n"/>
    </row>
    <row r="541">
      <c r="A541" s="139" t="n"/>
      <c r="R541" s="138" t="n"/>
      <c r="S541" s="139" t="n"/>
      <c r="U541" s="138" t="n"/>
    </row>
    <row r="542">
      <c r="A542" s="139" t="n"/>
      <c r="R542" s="138" t="n"/>
      <c r="S542" s="139" t="n"/>
      <c r="U542" s="138" t="n"/>
    </row>
    <row r="543">
      <c r="A543" s="139" t="n"/>
      <c r="R543" s="138" t="n"/>
      <c r="S543" s="139" t="n"/>
      <c r="U543" s="138" t="n"/>
    </row>
    <row r="544">
      <c r="A544" s="139" t="n"/>
      <c r="R544" s="138" t="n"/>
      <c r="S544" s="139" t="n"/>
      <c r="U544" s="138" t="n"/>
    </row>
    <row r="545">
      <c r="A545" s="139" t="n"/>
      <c r="R545" s="138" t="n"/>
      <c r="S545" s="139" t="n"/>
      <c r="U545" s="138" t="n"/>
    </row>
    <row r="546">
      <c r="A546" s="139" t="n"/>
      <c r="R546" s="138" t="n"/>
      <c r="S546" s="139" t="n"/>
      <c r="U546" s="138" t="n"/>
    </row>
    <row r="547">
      <c r="A547" s="139" t="n"/>
      <c r="R547" s="138" t="n"/>
      <c r="S547" s="139" t="n"/>
      <c r="U547" s="138" t="n"/>
    </row>
    <row r="548">
      <c r="A548" s="139" t="n"/>
      <c r="R548" s="138" t="n"/>
      <c r="S548" s="139" t="n"/>
      <c r="U548" s="138" t="n"/>
    </row>
    <row r="549">
      <c r="A549" s="139" t="n"/>
      <c r="R549" s="138" t="n"/>
      <c r="S549" s="139" t="n"/>
      <c r="U549" s="138" t="n"/>
    </row>
    <row r="550">
      <c r="A550" s="139" t="n"/>
      <c r="R550" s="138" t="n"/>
      <c r="S550" s="139" t="n"/>
      <c r="U550" s="138" t="n"/>
    </row>
    <row r="551">
      <c r="A551" s="139" t="n"/>
      <c r="R551" s="138" t="n"/>
      <c r="S551" s="139" t="n"/>
      <c r="U551" s="138" t="n"/>
    </row>
    <row r="552">
      <c r="A552" s="139" t="n"/>
      <c r="R552" s="138" t="n"/>
      <c r="S552" s="139" t="n"/>
      <c r="U552" s="138" t="n"/>
    </row>
    <row r="553">
      <c r="A553" s="139" t="n"/>
      <c r="R553" s="138" t="n"/>
      <c r="S553" s="139" t="n"/>
      <c r="U553" s="138" t="n"/>
    </row>
    <row r="554">
      <c r="A554" s="139" t="n"/>
      <c r="R554" s="138" t="n"/>
      <c r="S554" s="139" t="n"/>
      <c r="U554" s="138" t="n"/>
    </row>
    <row r="555">
      <c r="A555" s="139" t="n"/>
      <c r="R555" s="138" t="n"/>
      <c r="S555" s="139" t="n"/>
      <c r="U555" s="138" t="n"/>
    </row>
    <row r="556">
      <c r="A556" s="139" t="n"/>
      <c r="R556" s="138" t="n"/>
      <c r="S556" s="139" t="n"/>
      <c r="U556" s="138" t="n"/>
    </row>
    <row r="557">
      <c r="A557" s="139" t="n"/>
      <c r="R557" s="138" t="n"/>
      <c r="S557" s="139" t="n"/>
      <c r="U557" s="138" t="n"/>
    </row>
    <row r="558">
      <c r="A558" s="139" t="n"/>
      <c r="R558" s="138" t="n"/>
      <c r="S558" s="139" t="n"/>
      <c r="U558" s="138" t="n"/>
    </row>
    <row r="559">
      <c r="A559" s="139" t="n"/>
      <c r="R559" s="138" t="n"/>
      <c r="S559" s="139" t="n"/>
      <c r="U559" s="138" t="n"/>
    </row>
    <row r="560">
      <c r="A560" s="139" t="n"/>
      <c r="R560" s="138" t="n"/>
      <c r="S560" s="139" t="n"/>
      <c r="U560" s="138" t="n"/>
    </row>
    <row r="561">
      <c r="A561" s="139" t="n"/>
      <c r="R561" s="138" t="n"/>
      <c r="S561" s="139" t="n"/>
      <c r="U561" s="138" t="n"/>
    </row>
    <row r="562">
      <c r="A562" s="139" t="n"/>
      <c r="R562" s="138" t="n"/>
      <c r="S562" s="139" t="n"/>
      <c r="U562" s="138" t="n"/>
    </row>
    <row r="563">
      <c r="A563" s="139" t="n"/>
      <c r="R563" s="138" t="n"/>
      <c r="S563" s="139" t="n"/>
      <c r="U563" s="138" t="n"/>
    </row>
    <row r="564">
      <c r="A564" s="139" t="n"/>
      <c r="R564" s="138" t="n"/>
      <c r="S564" s="139" t="n"/>
      <c r="U564" s="138" t="n"/>
    </row>
    <row r="565">
      <c r="A565" s="139" t="n"/>
      <c r="R565" s="138" t="n"/>
      <c r="S565" s="139" t="n"/>
      <c r="U565" s="138" t="n"/>
    </row>
    <row r="566">
      <c r="A566" s="139" t="n"/>
      <c r="R566" s="138" t="n"/>
      <c r="S566" s="139" t="n"/>
      <c r="U566" s="138" t="n"/>
    </row>
    <row r="567">
      <c r="A567" s="139" t="n"/>
      <c r="R567" s="138" t="n"/>
      <c r="S567" s="139" t="n"/>
      <c r="U567" s="138" t="n"/>
    </row>
    <row r="568">
      <c r="A568" s="139" t="n"/>
      <c r="R568" s="138" t="n"/>
      <c r="S568" s="139" t="n"/>
      <c r="U568" s="138" t="n"/>
    </row>
    <row r="569">
      <c r="A569" s="139" t="n"/>
      <c r="R569" s="138" t="n"/>
      <c r="S569" s="139" t="n"/>
      <c r="U569" s="138" t="n"/>
    </row>
    <row r="570">
      <c r="A570" s="139" t="n"/>
      <c r="R570" s="138" t="n"/>
      <c r="S570" s="139" t="n"/>
      <c r="U570" s="138" t="n"/>
    </row>
    <row r="571">
      <c r="A571" s="139" t="n"/>
      <c r="R571" s="138" t="n"/>
      <c r="S571" s="139" t="n"/>
      <c r="U571" s="138" t="n"/>
    </row>
    <row r="572">
      <c r="A572" s="139" t="n"/>
      <c r="R572" s="138" t="n"/>
      <c r="S572" s="139" t="n"/>
      <c r="U572" s="138" t="n"/>
    </row>
    <row r="573">
      <c r="A573" s="139" t="n"/>
      <c r="R573" s="138" t="n"/>
      <c r="S573" s="139" t="n"/>
      <c r="U573" s="138" t="n"/>
    </row>
    <row r="574">
      <c r="A574" s="139" t="n"/>
      <c r="R574" s="138" t="n"/>
      <c r="S574" s="139" t="n"/>
      <c r="U574" s="138" t="n"/>
    </row>
    <row r="575">
      <c r="A575" s="139" t="n"/>
      <c r="R575" s="138" t="n"/>
      <c r="S575" s="139" t="n"/>
      <c r="U575" s="138" t="n"/>
    </row>
    <row r="576">
      <c r="A576" s="139" t="n"/>
      <c r="R576" s="138" t="n"/>
      <c r="S576" s="139" t="n"/>
      <c r="U576" s="138" t="n"/>
    </row>
    <row r="577">
      <c r="A577" s="139" t="n"/>
      <c r="R577" s="138" t="n"/>
      <c r="S577" s="139" t="n"/>
      <c r="U577" s="138" t="n"/>
    </row>
    <row r="578">
      <c r="A578" s="139" t="n"/>
      <c r="R578" s="138" t="n"/>
      <c r="S578" s="139" t="n"/>
      <c r="U578" s="138" t="n"/>
    </row>
    <row r="579">
      <c r="A579" s="139" t="n"/>
      <c r="R579" s="138" t="n"/>
      <c r="S579" s="139" t="n"/>
      <c r="U579" s="138" t="n"/>
    </row>
    <row r="580">
      <c r="A580" s="139" t="n"/>
      <c r="R580" s="138" t="n"/>
      <c r="S580" s="139" t="n"/>
      <c r="U580" s="138" t="n"/>
    </row>
    <row r="581">
      <c r="A581" s="139" t="n"/>
      <c r="R581" s="138" t="n"/>
      <c r="S581" s="139" t="n"/>
      <c r="U581" s="138" t="n"/>
    </row>
    <row r="582">
      <c r="A582" s="139" t="n"/>
      <c r="R582" s="138" t="n"/>
      <c r="S582" s="139" t="n"/>
      <c r="U582" s="138" t="n"/>
    </row>
    <row r="583">
      <c r="A583" s="139" t="n"/>
      <c r="R583" s="138" t="n"/>
      <c r="S583" s="139" t="n"/>
      <c r="U583" s="138" t="n"/>
    </row>
    <row r="584">
      <c r="A584" s="139" t="n"/>
      <c r="R584" s="138" t="n"/>
      <c r="S584" s="139" t="n"/>
      <c r="U584" s="138" t="n"/>
    </row>
    <row r="585">
      <c r="A585" s="139" t="n"/>
      <c r="R585" s="138" t="n"/>
      <c r="S585" s="139" t="n"/>
      <c r="U585" s="138" t="n"/>
    </row>
    <row r="586">
      <c r="A586" s="139" t="n"/>
      <c r="R586" s="138" t="n"/>
      <c r="S586" s="139" t="n"/>
      <c r="U586" s="138" t="n"/>
    </row>
    <row r="587">
      <c r="A587" s="139" t="n"/>
      <c r="R587" s="138" t="n"/>
      <c r="S587" s="139" t="n"/>
      <c r="U587" s="138" t="n"/>
    </row>
    <row r="588">
      <c r="A588" s="139" t="n"/>
      <c r="R588" s="138" t="n"/>
      <c r="S588" s="139" t="n"/>
      <c r="U588" s="138" t="n"/>
    </row>
    <row r="589">
      <c r="A589" s="139" t="n"/>
      <c r="R589" s="138" t="n"/>
      <c r="S589" s="139" t="n"/>
      <c r="U589" s="138" t="n"/>
    </row>
    <row r="590">
      <c r="A590" s="139" t="n"/>
      <c r="R590" s="138" t="n"/>
      <c r="S590" s="139" t="n"/>
      <c r="U590" s="138" t="n"/>
    </row>
    <row r="591">
      <c r="A591" s="139" t="n"/>
      <c r="R591" s="138" t="n"/>
      <c r="S591" s="139" t="n"/>
      <c r="U591" s="138" t="n"/>
    </row>
    <row r="592">
      <c r="A592" s="139" t="n"/>
      <c r="R592" s="138" t="n"/>
      <c r="S592" s="139" t="n"/>
      <c r="U592" s="138" t="n"/>
    </row>
    <row r="593">
      <c r="A593" s="139" t="n"/>
      <c r="R593" s="138" t="n"/>
      <c r="S593" s="139" t="n"/>
      <c r="U593" s="138" t="n"/>
    </row>
    <row r="594">
      <c r="A594" s="139" t="n"/>
      <c r="R594" s="138" t="n"/>
      <c r="S594" s="139" t="n"/>
      <c r="U594" s="138" t="n"/>
    </row>
    <row r="595">
      <c r="A595" s="139" t="n"/>
      <c r="R595" s="138" t="n"/>
      <c r="S595" s="139" t="n"/>
      <c r="U595" s="138" t="n"/>
    </row>
    <row r="596">
      <c r="A596" s="139" t="n"/>
      <c r="R596" s="138" t="n"/>
      <c r="S596" s="139" t="n"/>
      <c r="U596" s="138" t="n"/>
    </row>
    <row r="597">
      <c r="A597" s="139" t="n"/>
      <c r="R597" s="138" t="n"/>
      <c r="S597" s="139" t="n"/>
      <c r="U597" s="138" t="n"/>
    </row>
    <row r="598">
      <c r="A598" s="139" t="n"/>
      <c r="R598" s="138" t="n"/>
      <c r="S598" s="139" t="n"/>
      <c r="U598" s="138" t="n"/>
    </row>
    <row r="599">
      <c r="A599" s="139" t="n"/>
      <c r="R599" s="138" t="n"/>
      <c r="S599" s="139" t="n"/>
      <c r="U599" s="138" t="n"/>
    </row>
    <row r="600">
      <c r="A600" s="139" t="n"/>
      <c r="R600" s="138" t="n"/>
      <c r="S600" s="139" t="n"/>
      <c r="U600" s="138" t="n"/>
    </row>
    <row r="601">
      <c r="A601" s="139" t="n"/>
      <c r="R601" s="138" t="n"/>
      <c r="S601" s="139" t="n"/>
      <c r="U601" s="138" t="n"/>
    </row>
    <row r="602">
      <c r="A602" s="139" t="n"/>
      <c r="R602" s="138" t="n"/>
      <c r="S602" s="139" t="n"/>
      <c r="U602" s="138" t="n"/>
    </row>
    <row r="603">
      <c r="A603" s="139" t="n"/>
      <c r="R603" s="138" t="n"/>
      <c r="S603" s="139" t="n"/>
      <c r="U603" s="138" t="n"/>
    </row>
    <row r="604">
      <c r="A604" s="139" t="n"/>
      <c r="R604" s="138" t="n"/>
      <c r="S604" s="139" t="n"/>
      <c r="U604" s="138" t="n"/>
    </row>
    <row r="605">
      <c r="A605" s="139" t="n"/>
      <c r="R605" s="138" t="n"/>
      <c r="S605" s="139" t="n"/>
      <c r="U605" s="138" t="n"/>
    </row>
    <row r="606">
      <c r="A606" s="139" t="n"/>
      <c r="R606" s="138" t="n"/>
      <c r="S606" s="139" t="n"/>
      <c r="U606" s="138" t="n"/>
    </row>
    <row r="607">
      <c r="A607" s="139" t="n"/>
      <c r="R607" s="138" t="n"/>
      <c r="S607" s="139" t="n"/>
      <c r="U607" s="138" t="n"/>
    </row>
    <row r="608">
      <c r="A608" s="139" t="n"/>
      <c r="R608" s="138" t="n"/>
      <c r="S608" s="139" t="n"/>
      <c r="U608" s="138" t="n"/>
    </row>
    <row r="609">
      <c r="A609" s="139" t="n"/>
      <c r="R609" s="138" t="n"/>
      <c r="S609" s="139" t="n"/>
      <c r="U609" s="138" t="n"/>
    </row>
    <row r="610">
      <c r="A610" s="139" t="n"/>
      <c r="R610" s="138" t="n"/>
      <c r="S610" s="139" t="n"/>
      <c r="U610" s="138" t="n"/>
    </row>
    <row r="611">
      <c r="A611" s="139" t="n"/>
      <c r="R611" s="138" t="n"/>
      <c r="S611" s="139" t="n"/>
      <c r="U611" s="138" t="n"/>
    </row>
    <row r="612">
      <c r="A612" s="139" t="n"/>
      <c r="R612" s="138" t="n"/>
      <c r="S612" s="139" t="n"/>
      <c r="U612" s="138" t="n"/>
    </row>
    <row r="613">
      <c r="A613" s="139" t="n"/>
      <c r="R613" s="138" t="n"/>
      <c r="S613" s="139" t="n"/>
      <c r="U613" s="138" t="n"/>
    </row>
    <row r="614">
      <c r="A614" s="139" t="n"/>
      <c r="R614" s="138" t="n"/>
      <c r="S614" s="139" t="n"/>
      <c r="U614" s="138" t="n"/>
    </row>
    <row r="615">
      <c r="A615" s="139" t="n"/>
      <c r="R615" s="138" t="n"/>
      <c r="S615" s="139" t="n"/>
      <c r="U615" s="138" t="n"/>
    </row>
    <row r="616">
      <c r="A616" s="139" t="n"/>
      <c r="R616" s="138" t="n"/>
      <c r="S616" s="139" t="n"/>
      <c r="U616" s="138" t="n"/>
    </row>
    <row r="617">
      <c r="A617" s="139" t="n"/>
      <c r="R617" s="138" t="n"/>
      <c r="S617" s="139" t="n"/>
      <c r="U617" s="138" t="n"/>
    </row>
    <row r="618">
      <c r="A618" s="139" t="n"/>
      <c r="R618" s="138" t="n"/>
      <c r="S618" s="139" t="n"/>
      <c r="U618" s="138" t="n"/>
    </row>
    <row r="619">
      <c r="A619" s="139" t="n"/>
      <c r="R619" s="138" t="n"/>
      <c r="S619" s="139" t="n"/>
      <c r="U619" s="138" t="n"/>
    </row>
    <row r="620">
      <c r="A620" s="139" t="n"/>
      <c r="R620" s="138" t="n"/>
      <c r="S620" s="139" t="n"/>
      <c r="U620" s="138" t="n"/>
    </row>
    <row r="621">
      <c r="A621" s="139" t="n"/>
      <c r="R621" s="138" t="n"/>
      <c r="S621" s="139" t="n"/>
      <c r="U621" s="138" t="n"/>
    </row>
    <row r="622">
      <c r="A622" s="139" t="n"/>
      <c r="R622" s="138" t="n"/>
      <c r="S622" s="139" t="n"/>
      <c r="U622" s="138" t="n"/>
    </row>
    <row r="623">
      <c r="A623" s="139" t="n"/>
      <c r="R623" s="138" t="n"/>
      <c r="S623" s="139" t="n"/>
      <c r="U623" s="138" t="n"/>
    </row>
    <row r="624">
      <c r="A624" s="139" t="n"/>
      <c r="R624" s="138" t="n"/>
      <c r="S624" s="139" t="n"/>
      <c r="U624" s="138" t="n"/>
    </row>
    <row r="625">
      <c r="A625" s="139" t="n"/>
      <c r="R625" s="138" t="n"/>
      <c r="S625" s="139" t="n"/>
      <c r="U625" s="138" t="n"/>
    </row>
    <row r="626">
      <c r="A626" s="139" t="n"/>
      <c r="R626" s="138" t="n"/>
      <c r="S626" s="139" t="n"/>
      <c r="U626" s="138" t="n"/>
    </row>
    <row r="627">
      <c r="A627" s="139" t="n"/>
      <c r="R627" s="138" t="n"/>
      <c r="S627" s="139" t="n"/>
      <c r="U627" s="138" t="n"/>
    </row>
    <row r="628">
      <c r="A628" s="139" t="n"/>
      <c r="R628" s="138" t="n"/>
      <c r="S628" s="139" t="n"/>
      <c r="U628" s="138" t="n"/>
    </row>
    <row r="629">
      <c r="A629" s="139" t="n"/>
      <c r="R629" s="138" t="n"/>
      <c r="S629" s="139" t="n"/>
      <c r="U629" s="138" t="n"/>
    </row>
    <row r="630">
      <c r="A630" s="139" t="n"/>
      <c r="R630" s="138" t="n"/>
      <c r="S630" s="139" t="n"/>
      <c r="U630" s="138" t="n"/>
    </row>
    <row r="631">
      <c r="A631" s="139" t="n"/>
      <c r="R631" s="138" t="n"/>
      <c r="S631" s="139" t="n"/>
      <c r="U631" s="138" t="n"/>
    </row>
    <row r="632">
      <c r="A632" s="139" t="n"/>
      <c r="R632" s="138" t="n"/>
      <c r="S632" s="139" t="n"/>
      <c r="U632" s="138" t="n"/>
    </row>
    <row r="633">
      <c r="A633" s="139" t="n"/>
      <c r="R633" s="138" t="n"/>
      <c r="S633" s="139" t="n"/>
      <c r="U633" s="138" t="n"/>
    </row>
    <row r="634">
      <c r="A634" s="139" t="n"/>
      <c r="R634" s="138" t="n"/>
      <c r="S634" s="139" t="n"/>
      <c r="U634" s="138" t="n"/>
    </row>
    <row r="635">
      <c r="A635" s="139" t="n"/>
      <c r="R635" s="138" t="n"/>
      <c r="S635" s="139" t="n"/>
      <c r="U635" s="138" t="n"/>
    </row>
    <row r="636">
      <c r="A636" s="139" t="n"/>
      <c r="R636" s="138" t="n"/>
      <c r="S636" s="139" t="n"/>
      <c r="U636" s="138" t="n"/>
    </row>
    <row r="637">
      <c r="A637" s="139" t="n"/>
      <c r="R637" s="138" t="n"/>
      <c r="S637" s="139" t="n"/>
      <c r="U637" s="138" t="n"/>
    </row>
    <row r="638">
      <c r="A638" s="139" t="n"/>
      <c r="R638" s="138" t="n"/>
      <c r="S638" s="139" t="n"/>
      <c r="U638" s="138" t="n"/>
    </row>
    <row r="639">
      <c r="A639" s="139" t="n"/>
      <c r="R639" s="138" t="n"/>
      <c r="S639" s="139" t="n"/>
      <c r="U639" s="138" t="n"/>
    </row>
    <row r="640">
      <c r="A640" s="139" t="n"/>
      <c r="R640" s="138" t="n"/>
      <c r="S640" s="139" t="n"/>
      <c r="U640" s="138" t="n"/>
    </row>
    <row r="641">
      <c r="A641" s="139" t="n"/>
      <c r="R641" s="138" t="n"/>
      <c r="S641" s="139" t="n"/>
      <c r="U641" s="138" t="n"/>
    </row>
    <row r="642">
      <c r="A642" s="139" t="n"/>
      <c r="R642" s="138" t="n"/>
      <c r="S642" s="139" t="n"/>
      <c r="U642" s="138" t="n"/>
    </row>
    <row r="643">
      <c r="A643" s="139" t="n"/>
      <c r="R643" s="138" t="n"/>
      <c r="S643" s="139" t="n"/>
      <c r="U643" s="138" t="n"/>
    </row>
    <row r="644">
      <c r="A644" s="139" t="n"/>
      <c r="R644" s="138" t="n"/>
      <c r="S644" s="139" t="n"/>
      <c r="U644" s="138" t="n"/>
    </row>
    <row r="645">
      <c r="A645" s="139" t="n"/>
      <c r="R645" s="138" t="n"/>
      <c r="S645" s="139" t="n"/>
      <c r="U645" s="138" t="n"/>
    </row>
    <row r="646">
      <c r="A646" s="139" t="n"/>
      <c r="R646" s="138" t="n"/>
      <c r="S646" s="139" t="n"/>
      <c r="U646" s="138" t="n"/>
    </row>
    <row r="647">
      <c r="A647" s="139" t="n"/>
      <c r="R647" s="138" t="n"/>
      <c r="S647" s="139" t="n"/>
      <c r="U647" s="138" t="n"/>
    </row>
    <row r="648">
      <c r="A648" s="139" t="n"/>
      <c r="R648" s="138" t="n"/>
      <c r="S648" s="139" t="n"/>
      <c r="U648" s="138" t="n"/>
    </row>
    <row r="649">
      <c r="A649" s="139" t="n"/>
      <c r="R649" s="138" t="n"/>
      <c r="S649" s="139" t="n"/>
      <c r="U649" s="138" t="n"/>
    </row>
    <row r="650">
      <c r="A650" s="139" t="n"/>
      <c r="R650" s="138" t="n"/>
      <c r="S650" s="139" t="n"/>
      <c r="U650" s="138" t="n"/>
    </row>
    <row r="651">
      <c r="A651" s="139" t="n"/>
      <c r="R651" s="138" t="n"/>
      <c r="S651" s="139" t="n"/>
      <c r="U651" s="138" t="n"/>
    </row>
    <row r="652">
      <c r="A652" s="139" t="n"/>
      <c r="R652" s="138" t="n"/>
      <c r="S652" s="139" t="n"/>
      <c r="U652" s="138" t="n"/>
    </row>
    <row r="653">
      <c r="A653" s="139" t="n"/>
      <c r="R653" s="138" t="n"/>
      <c r="S653" s="139" t="n"/>
      <c r="U653" s="138" t="n"/>
    </row>
    <row r="654">
      <c r="A654" s="139" t="n"/>
      <c r="R654" s="138" t="n"/>
      <c r="S654" s="139" t="n"/>
      <c r="U654" s="138" t="n"/>
    </row>
    <row r="655">
      <c r="A655" s="139" t="n"/>
      <c r="R655" s="138" t="n"/>
      <c r="S655" s="139" t="n"/>
      <c r="U655" s="138" t="n"/>
    </row>
    <row r="656">
      <c r="A656" s="139" t="n"/>
      <c r="R656" s="138" t="n"/>
      <c r="S656" s="139" t="n"/>
      <c r="U656" s="138" t="n"/>
    </row>
    <row r="657">
      <c r="A657" s="139" t="n"/>
      <c r="R657" s="138" t="n"/>
      <c r="S657" s="139" t="n"/>
      <c r="U657" s="138" t="n"/>
    </row>
    <row r="658">
      <c r="A658" s="139" t="n"/>
      <c r="R658" s="138" t="n"/>
      <c r="S658" s="139" t="n"/>
      <c r="U658" s="138" t="n"/>
    </row>
    <row r="659">
      <c r="A659" s="139" t="n"/>
      <c r="R659" s="138" t="n"/>
      <c r="S659" s="139" t="n"/>
      <c r="U659" s="138" t="n"/>
    </row>
    <row r="660">
      <c r="A660" s="139" t="n"/>
      <c r="R660" s="138" t="n"/>
      <c r="S660" s="139" t="n"/>
      <c r="U660" s="138" t="n"/>
    </row>
    <row r="661">
      <c r="A661" s="139" t="n"/>
      <c r="R661" s="138" t="n"/>
      <c r="S661" s="139" t="n"/>
      <c r="U661" s="138" t="n"/>
    </row>
    <row r="662">
      <c r="A662" s="139" t="n"/>
      <c r="R662" s="138" t="n"/>
      <c r="S662" s="139" t="n"/>
      <c r="U662" s="138" t="n"/>
    </row>
    <row r="663">
      <c r="A663" s="139" t="n"/>
      <c r="R663" s="138" t="n"/>
      <c r="S663" s="139" t="n"/>
      <c r="U663" s="138" t="n"/>
    </row>
    <row r="664">
      <c r="A664" s="139" t="n"/>
      <c r="R664" s="138" t="n"/>
      <c r="S664" s="139" t="n"/>
      <c r="U664" s="138" t="n"/>
    </row>
    <row r="665">
      <c r="A665" s="139" t="n"/>
      <c r="R665" s="138" t="n"/>
      <c r="S665" s="139" t="n"/>
      <c r="U665" s="138" t="n"/>
    </row>
    <row r="666">
      <c r="A666" s="139" t="n"/>
      <c r="R666" s="138" t="n"/>
      <c r="S666" s="139" t="n"/>
      <c r="U666" s="138" t="n"/>
    </row>
    <row r="667">
      <c r="A667" s="139" t="n"/>
      <c r="R667" s="138" t="n"/>
      <c r="S667" s="139" t="n"/>
      <c r="U667" s="138" t="n"/>
    </row>
    <row r="668">
      <c r="A668" s="139" t="n"/>
      <c r="R668" s="138" t="n"/>
      <c r="S668" s="139" t="n"/>
      <c r="U668" s="138" t="n"/>
    </row>
    <row r="669">
      <c r="A669" s="139" t="n"/>
      <c r="R669" s="138" t="n"/>
      <c r="S669" s="139" t="n"/>
      <c r="U669" s="138" t="n"/>
    </row>
    <row r="670">
      <c r="A670" s="139" t="n"/>
      <c r="R670" s="138" t="n"/>
      <c r="S670" s="139" t="n"/>
      <c r="U670" s="138" t="n"/>
    </row>
    <row r="671">
      <c r="A671" s="139" t="n"/>
      <c r="R671" s="138" t="n"/>
      <c r="S671" s="139" t="n"/>
      <c r="U671" s="138" t="n"/>
    </row>
    <row r="672">
      <c r="A672" s="139" t="n"/>
      <c r="R672" s="138" t="n"/>
      <c r="S672" s="139" t="n"/>
      <c r="U672" s="138" t="n"/>
    </row>
    <row r="673">
      <c r="A673" s="139" t="n"/>
      <c r="R673" s="138" t="n"/>
      <c r="S673" s="139" t="n"/>
      <c r="U673" s="138" t="n"/>
    </row>
    <row r="674">
      <c r="A674" s="139" t="n"/>
      <c r="R674" s="138" t="n"/>
      <c r="S674" s="139" t="n"/>
      <c r="U674" s="138" t="n"/>
    </row>
    <row r="675">
      <c r="A675" s="139" t="n"/>
      <c r="R675" s="138" t="n"/>
      <c r="S675" s="139" t="n"/>
      <c r="U675" s="138" t="n"/>
    </row>
    <row r="676">
      <c r="A676" s="139" t="n"/>
      <c r="R676" s="138" t="n"/>
      <c r="S676" s="139" t="n"/>
      <c r="U676" s="138" t="n"/>
    </row>
    <row r="677">
      <c r="A677" s="139" t="n"/>
      <c r="R677" s="138" t="n"/>
      <c r="S677" s="139" t="n"/>
      <c r="U677" s="138" t="n"/>
    </row>
    <row r="678">
      <c r="A678" s="139" t="n"/>
      <c r="R678" s="138" t="n"/>
      <c r="S678" s="139" t="n"/>
      <c r="U678" s="138" t="n"/>
    </row>
    <row r="679">
      <c r="A679" s="139" t="n"/>
      <c r="R679" s="138" t="n"/>
      <c r="S679" s="139" t="n"/>
      <c r="U679" s="138" t="n"/>
    </row>
    <row r="680">
      <c r="A680" s="139" t="n"/>
      <c r="R680" s="138" t="n"/>
      <c r="S680" s="139" t="n"/>
      <c r="U680" s="138" t="n"/>
    </row>
    <row r="681">
      <c r="A681" s="139" t="n"/>
      <c r="R681" s="138" t="n"/>
      <c r="S681" s="139" t="n"/>
      <c r="U681" s="138" t="n"/>
    </row>
    <row r="682">
      <c r="A682" s="139" t="n"/>
      <c r="R682" s="138" t="n"/>
      <c r="S682" s="139" t="n"/>
      <c r="U682" s="138" t="n"/>
    </row>
    <row r="683">
      <c r="A683" s="139" t="n"/>
      <c r="R683" s="138" t="n"/>
      <c r="S683" s="139" t="n"/>
      <c r="U683" s="138" t="n"/>
    </row>
    <row r="684">
      <c r="A684" s="139" t="n"/>
      <c r="R684" s="138" t="n"/>
      <c r="S684" s="139" t="n"/>
      <c r="U684" s="138" t="n"/>
    </row>
    <row r="685">
      <c r="A685" s="139" t="n"/>
      <c r="R685" s="138" t="n"/>
      <c r="S685" s="139" t="n"/>
      <c r="U685" s="138" t="n"/>
    </row>
    <row r="686">
      <c r="A686" s="139" t="n"/>
      <c r="R686" s="138" t="n"/>
      <c r="S686" s="139" t="n"/>
      <c r="U686" s="138" t="n"/>
    </row>
    <row r="687">
      <c r="A687" s="139" t="n"/>
      <c r="R687" s="138" t="n"/>
      <c r="S687" s="139" t="n"/>
      <c r="U687" s="138" t="n"/>
    </row>
    <row r="688">
      <c r="A688" s="139" t="n"/>
      <c r="R688" s="138" t="n"/>
      <c r="S688" s="139" t="n"/>
      <c r="U688" s="138" t="n"/>
    </row>
    <row r="689">
      <c r="A689" s="139" t="n"/>
      <c r="R689" s="138" t="n"/>
      <c r="S689" s="139" t="n"/>
      <c r="U689" s="138" t="n"/>
    </row>
    <row r="690">
      <c r="A690" s="139" t="n"/>
      <c r="R690" s="138" t="n"/>
      <c r="S690" s="139" t="n"/>
      <c r="U690" s="138" t="n"/>
    </row>
    <row r="691">
      <c r="A691" s="139" t="n"/>
      <c r="R691" s="138" t="n"/>
      <c r="S691" s="139" t="n"/>
      <c r="U691" s="138" t="n"/>
    </row>
    <row r="692">
      <c r="A692" s="139" t="n"/>
      <c r="R692" s="138" t="n"/>
      <c r="S692" s="139" t="n"/>
      <c r="U692" s="138" t="n"/>
    </row>
    <row r="693">
      <c r="A693" s="139" t="n"/>
      <c r="R693" s="138" t="n"/>
      <c r="S693" s="139" t="n"/>
      <c r="U693" s="138" t="n"/>
    </row>
    <row r="694">
      <c r="A694" s="139" t="n"/>
      <c r="R694" s="138" t="n"/>
      <c r="S694" s="139" t="n"/>
      <c r="U694" s="138" t="n"/>
    </row>
    <row r="695">
      <c r="A695" s="139" t="n"/>
      <c r="R695" s="138" t="n"/>
      <c r="S695" s="139" t="n"/>
      <c r="U695" s="138" t="n"/>
    </row>
    <row r="696">
      <c r="A696" s="139" t="n"/>
      <c r="R696" s="138" t="n"/>
      <c r="S696" s="139" t="n"/>
      <c r="U696" s="138" t="n"/>
    </row>
    <row r="697">
      <c r="A697" s="139" t="n"/>
      <c r="R697" s="138" t="n"/>
      <c r="S697" s="139" t="n"/>
      <c r="U697" s="138" t="n"/>
    </row>
    <row r="698">
      <c r="A698" s="139" t="n"/>
      <c r="R698" s="138" t="n"/>
      <c r="S698" s="139" t="n"/>
      <c r="U698" s="138" t="n"/>
    </row>
    <row r="699">
      <c r="A699" s="139" t="n"/>
      <c r="R699" s="138" t="n"/>
      <c r="S699" s="139" t="n"/>
      <c r="U699" s="138" t="n"/>
    </row>
    <row r="700">
      <c r="A700" s="139" t="n"/>
      <c r="R700" s="138" t="n"/>
      <c r="S700" s="139" t="n"/>
      <c r="U700" s="138" t="n"/>
    </row>
    <row r="701">
      <c r="A701" s="139" t="n"/>
      <c r="R701" s="138" t="n"/>
      <c r="S701" s="139" t="n"/>
      <c r="U701" s="138" t="n"/>
    </row>
    <row r="702">
      <c r="A702" s="139" t="n"/>
      <c r="R702" s="138" t="n"/>
      <c r="S702" s="139" t="n"/>
      <c r="U702" s="138" t="n"/>
    </row>
    <row r="703">
      <c r="A703" s="139" t="n"/>
      <c r="R703" s="138" t="n"/>
      <c r="S703" s="139" t="n"/>
      <c r="U703" s="138" t="n"/>
    </row>
    <row r="704">
      <c r="A704" s="139" t="n"/>
      <c r="R704" s="138" t="n"/>
      <c r="S704" s="139" t="n"/>
      <c r="U704" s="138" t="n"/>
    </row>
    <row r="705">
      <c r="A705" s="139" t="n"/>
      <c r="R705" s="138" t="n"/>
      <c r="S705" s="139" t="n"/>
      <c r="U705" s="138" t="n"/>
    </row>
    <row r="706">
      <c r="A706" s="139" t="n"/>
      <c r="R706" s="138" t="n"/>
      <c r="S706" s="139" t="n"/>
      <c r="U706" s="138" t="n"/>
    </row>
    <row r="707">
      <c r="A707" s="139" t="n"/>
      <c r="R707" s="138" t="n"/>
      <c r="S707" s="139" t="n"/>
      <c r="U707" s="138" t="n"/>
    </row>
    <row r="708">
      <c r="A708" s="139" t="n"/>
      <c r="R708" s="138" t="n"/>
      <c r="S708" s="139" t="n"/>
      <c r="U708" s="138" t="n"/>
    </row>
    <row r="709">
      <c r="A709" s="139" t="n"/>
      <c r="R709" s="138" t="n"/>
      <c r="S709" s="139" t="n"/>
      <c r="U709" s="138" t="n"/>
    </row>
    <row r="710">
      <c r="A710" s="139" t="n"/>
      <c r="R710" s="138" t="n"/>
      <c r="S710" s="139" t="n"/>
      <c r="U710" s="138" t="n"/>
    </row>
    <row r="711">
      <c r="A711" s="139" t="n"/>
      <c r="R711" s="138" t="n"/>
      <c r="S711" s="139" t="n"/>
      <c r="U711" s="138" t="n"/>
    </row>
    <row r="712">
      <c r="A712" s="139" t="n"/>
      <c r="R712" s="138" t="n"/>
      <c r="S712" s="139" t="n"/>
      <c r="U712" s="138" t="n"/>
    </row>
    <row r="713">
      <c r="A713" s="139" t="n"/>
      <c r="R713" s="138" t="n"/>
      <c r="S713" s="139" t="n"/>
      <c r="U713" s="138" t="n"/>
    </row>
    <row r="714">
      <c r="A714" s="139" t="n"/>
      <c r="R714" s="138" t="n"/>
      <c r="S714" s="139" t="n"/>
      <c r="U714" s="138" t="n"/>
    </row>
    <row r="715">
      <c r="A715" s="139" t="n"/>
      <c r="R715" s="138" t="n"/>
      <c r="S715" s="139" t="n"/>
      <c r="U715" s="138" t="n"/>
    </row>
    <row r="716">
      <c r="A716" s="139" t="n"/>
      <c r="R716" s="138" t="n"/>
      <c r="S716" s="139" t="n"/>
      <c r="U716" s="138" t="n"/>
    </row>
    <row r="717">
      <c r="A717" s="139" t="n"/>
      <c r="R717" s="138" t="n"/>
      <c r="S717" s="139" t="n"/>
      <c r="U717" s="138" t="n"/>
    </row>
    <row r="718">
      <c r="A718" s="139" t="n"/>
      <c r="R718" s="138" t="n"/>
      <c r="S718" s="139" t="n"/>
      <c r="U718" s="138" t="n"/>
    </row>
    <row r="719">
      <c r="A719" s="139" t="n"/>
      <c r="R719" s="138" t="n"/>
      <c r="S719" s="139" t="n"/>
      <c r="U719" s="138" t="n"/>
    </row>
    <row r="720">
      <c r="A720" s="139" t="n"/>
      <c r="R720" s="138" t="n"/>
      <c r="S720" s="139" t="n"/>
      <c r="U720" s="138" t="n"/>
    </row>
    <row r="721">
      <c r="A721" s="139" t="n"/>
      <c r="R721" s="138" t="n"/>
      <c r="S721" s="139" t="n"/>
      <c r="U721" s="138" t="n"/>
    </row>
    <row r="722">
      <c r="A722" s="139" t="n"/>
      <c r="R722" s="138" t="n"/>
      <c r="S722" s="139" t="n"/>
      <c r="U722" s="138" t="n"/>
    </row>
    <row r="723">
      <c r="A723" s="139" t="n"/>
      <c r="R723" s="138" t="n"/>
      <c r="S723" s="139" t="n"/>
      <c r="U723" s="138" t="n"/>
    </row>
    <row r="724">
      <c r="A724" s="139" t="n"/>
      <c r="R724" s="138" t="n"/>
      <c r="S724" s="139" t="n"/>
      <c r="U724" s="138" t="n"/>
    </row>
    <row r="725">
      <c r="A725" s="139" t="n"/>
      <c r="R725" s="138" t="n"/>
      <c r="S725" s="139" t="n"/>
      <c r="U725" s="138" t="n"/>
    </row>
    <row r="726">
      <c r="A726" s="139" t="n"/>
      <c r="R726" s="138" t="n"/>
      <c r="S726" s="139" t="n"/>
      <c r="U726" s="138" t="n"/>
    </row>
    <row r="727">
      <c r="A727" s="139" t="n"/>
      <c r="R727" s="138" t="n"/>
      <c r="S727" s="139" t="n"/>
      <c r="U727" s="138" t="n"/>
    </row>
    <row r="728">
      <c r="A728" s="139" t="n"/>
      <c r="R728" s="138" t="n"/>
      <c r="S728" s="139" t="n"/>
      <c r="U728" s="138" t="n"/>
    </row>
    <row r="729">
      <c r="A729" s="139" t="n"/>
      <c r="R729" s="138" t="n"/>
      <c r="S729" s="139" t="n"/>
      <c r="U729" s="138" t="n"/>
    </row>
    <row r="730">
      <c r="A730" s="139" t="n"/>
      <c r="R730" s="138" t="n"/>
      <c r="S730" s="139" t="n"/>
      <c r="U730" s="138" t="n"/>
    </row>
    <row r="731">
      <c r="A731" s="139" t="n"/>
      <c r="R731" s="138" t="n"/>
      <c r="S731" s="139" t="n"/>
      <c r="U731" s="138" t="n"/>
    </row>
    <row r="732">
      <c r="A732" s="139" t="n"/>
      <c r="R732" s="138" t="n"/>
      <c r="S732" s="139" t="n"/>
      <c r="U732" s="138" t="n"/>
    </row>
    <row r="733">
      <c r="A733" s="139" t="n"/>
      <c r="R733" s="138" t="n"/>
      <c r="S733" s="139" t="n"/>
      <c r="U733" s="138" t="n"/>
    </row>
    <row r="734">
      <c r="A734" s="139" t="n"/>
      <c r="R734" s="138" t="n"/>
      <c r="S734" s="139" t="n"/>
      <c r="U734" s="138" t="n"/>
    </row>
    <row r="735">
      <c r="A735" s="139" t="n"/>
      <c r="R735" s="138" t="n"/>
      <c r="S735" s="139" t="n"/>
      <c r="U735" s="138" t="n"/>
    </row>
    <row r="736">
      <c r="A736" s="139" t="n"/>
      <c r="R736" s="138" t="n"/>
      <c r="S736" s="139" t="n"/>
      <c r="U736" s="138" t="n"/>
    </row>
    <row r="737">
      <c r="A737" s="139" t="n"/>
      <c r="R737" s="138" t="n"/>
      <c r="S737" s="139" t="n"/>
      <c r="U737" s="138" t="n"/>
    </row>
    <row r="738">
      <c r="A738" s="139" t="n"/>
      <c r="R738" s="138" t="n"/>
      <c r="S738" s="139" t="n"/>
      <c r="U738" s="138" t="n"/>
    </row>
    <row r="739">
      <c r="A739" s="139" t="n"/>
      <c r="R739" s="138" t="n"/>
      <c r="S739" s="139" t="n"/>
      <c r="U739" s="138" t="n"/>
    </row>
    <row r="740">
      <c r="A740" s="139" t="n"/>
      <c r="R740" s="138" t="n"/>
      <c r="S740" s="139" t="n"/>
      <c r="U740" s="138" t="n"/>
    </row>
    <row r="741">
      <c r="A741" s="139" t="n"/>
      <c r="R741" s="138" t="n"/>
      <c r="S741" s="139" t="n"/>
      <c r="U741" s="138" t="n"/>
    </row>
    <row r="742">
      <c r="A742" s="139" t="n"/>
      <c r="R742" s="138" t="n"/>
      <c r="S742" s="139" t="n"/>
      <c r="U742" s="138" t="n"/>
    </row>
    <row r="743">
      <c r="A743" s="139" t="n"/>
      <c r="R743" s="138" t="n"/>
      <c r="S743" s="139" t="n"/>
      <c r="U743" s="138" t="n"/>
    </row>
    <row r="744">
      <c r="A744" s="139" t="n"/>
      <c r="R744" s="138" t="n"/>
      <c r="S744" s="139" t="n"/>
      <c r="U744" s="138" t="n"/>
    </row>
    <row r="745">
      <c r="A745" s="139" t="n"/>
      <c r="R745" s="138" t="n"/>
      <c r="S745" s="139" t="n"/>
      <c r="U745" s="138" t="n"/>
    </row>
    <row r="746">
      <c r="A746" s="139" t="n"/>
      <c r="R746" s="138" t="n"/>
      <c r="S746" s="139" t="n"/>
      <c r="U746" s="138" t="n"/>
    </row>
    <row r="747">
      <c r="A747" s="139" t="n"/>
      <c r="R747" s="138" t="n"/>
      <c r="S747" s="139" t="n"/>
      <c r="U747" s="138" t="n"/>
    </row>
    <row r="748">
      <c r="A748" s="139" t="n"/>
      <c r="R748" s="138" t="n"/>
      <c r="S748" s="139" t="n"/>
      <c r="U748" s="138" t="n"/>
    </row>
    <row r="749">
      <c r="A749" s="139" t="n"/>
      <c r="R749" s="138" t="n"/>
      <c r="S749" s="139" t="n"/>
      <c r="U749" s="138" t="n"/>
    </row>
    <row r="750">
      <c r="A750" s="139" t="n"/>
      <c r="R750" s="138" t="n"/>
      <c r="S750" s="139" t="n"/>
      <c r="U750" s="138" t="n"/>
    </row>
    <row r="751">
      <c r="A751" s="139" t="n"/>
      <c r="R751" s="138" t="n"/>
      <c r="S751" s="139" t="n"/>
      <c r="U751" s="138" t="n"/>
    </row>
    <row r="752">
      <c r="A752" s="139" t="n"/>
      <c r="R752" s="138" t="n"/>
      <c r="S752" s="139" t="n"/>
      <c r="U752" s="138" t="n"/>
    </row>
    <row r="753">
      <c r="A753" s="139" t="n"/>
      <c r="R753" s="138" t="n"/>
      <c r="S753" s="139" t="n"/>
      <c r="U753" s="138" t="n"/>
    </row>
    <row r="754">
      <c r="A754" s="139" t="n"/>
      <c r="R754" s="138" t="n"/>
      <c r="S754" s="139" t="n"/>
      <c r="U754" s="138" t="n"/>
    </row>
    <row r="755">
      <c r="A755" s="139" t="n"/>
      <c r="R755" s="138" t="n"/>
      <c r="S755" s="139" t="n"/>
      <c r="U755" s="138" t="n"/>
    </row>
    <row r="756">
      <c r="A756" s="139" t="n"/>
      <c r="R756" s="138" t="n"/>
      <c r="S756" s="139" t="n"/>
      <c r="U756" s="138" t="n"/>
    </row>
    <row r="757">
      <c r="A757" s="139" t="n"/>
      <c r="R757" s="138" t="n"/>
      <c r="S757" s="139" t="n"/>
      <c r="U757" s="138" t="n"/>
    </row>
    <row r="758">
      <c r="A758" s="139" t="n"/>
      <c r="R758" s="138" t="n"/>
      <c r="S758" s="139" t="n"/>
      <c r="U758" s="138" t="n"/>
    </row>
    <row r="759">
      <c r="A759" s="139" t="n"/>
      <c r="R759" s="138" t="n"/>
      <c r="S759" s="139" t="n"/>
      <c r="U759" s="138" t="n"/>
    </row>
    <row r="760">
      <c r="A760" s="139" t="n"/>
      <c r="R760" s="138" t="n"/>
      <c r="S760" s="139" t="n"/>
      <c r="U760" s="138" t="n"/>
    </row>
    <row r="761">
      <c r="A761" s="139" t="n"/>
      <c r="R761" s="138" t="n"/>
      <c r="S761" s="139" t="n"/>
      <c r="U761" s="138" t="n"/>
    </row>
    <row r="762">
      <c r="A762" s="139" t="n"/>
      <c r="R762" s="138" t="n"/>
      <c r="S762" s="139" t="n"/>
      <c r="U762" s="138" t="n"/>
    </row>
    <row r="763">
      <c r="A763" s="139" t="n"/>
      <c r="R763" s="138" t="n"/>
      <c r="S763" s="139" t="n"/>
      <c r="U763" s="138" t="n"/>
    </row>
    <row r="764">
      <c r="A764" s="139" t="n"/>
      <c r="R764" s="138" t="n"/>
      <c r="S764" s="139" t="n"/>
      <c r="U764" s="138" t="n"/>
    </row>
    <row r="765">
      <c r="A765" s="139" t="n"/>
      <c r="R765" s="138" t="n"/>
      <c r="S765" s="139" t="n"/>
      <c r="U765" s="138" t="n"/>
    </row>
    <row r="766">
      <c r="A766" s="139" t="n"/>
      <c r="R766" s="138" t="n"/>
      <c r="S766" s="139" t="n"/>
      <c r="U766" s="138" t="n"/>
    </row>
    <row r="767">
      <c r="A767" s="139" t="n"/>
      <c r="R767" s="138" t="n"/>
      <c r="S767" s="139" t="n"/>
      <c r="U767" s="138" t="n"/>
    </row>
    <row r="768">
      <c r="A768" s="139" t="n"/>
      <c r="R768" s="138" t="n"/>
      <c r="S768" s="139" t="n"/>
      <c r="U768" s="138" t="n"/>
    </row>
    <row r="769">
      <c r="A769" s="139" t="n"/>
      <c r="R769" s="138" t="n"/>
      <c r="S769" s="139" t="n"/>
      <c r="U769" s="138" t="n"/>
    </row>
    <row r="770">
      <c r="A770" s="139" t="n"/>
      <c r="R770" s="138" t="n"/>
      <c r="S770" s="139" t="n"/>
      <c r="U770" s="138" t="n"/>
    </row>
    <row r="771">
      <c r="A771" s="139" t="n"/>
      <c r="R771" s="138" t="n"/>
      <c r="S771" s="139" t="n"/>
      <c r="U771" s="138" t="n"/>
    </row>
    <row r="772">
      <c r="A772" s="139" t="n"/>
      <c r="R772" s="138" t="n"/>
      <c r="S772" s="139" t="n"/>
      <c r="U772" s="138" t="n"/>
    </row>
    <row r="773">
      <c r="A773" s="139" t="n"/>
      <c r="R773" s="138" t="n"/>
      <c r="S773" s="139" t="n"/>
      <c r="U773" s="138" t="n"/>
    </row>
    <row r="774">
      <c r="A774" s="139" t="n"/>
      <c r="R774" s="138" t="n"/>
      <c r="S774" s="139" t="n"/>
      <c r="U774" s="138" t="n"/>
    </row>
    <row r="775">
      <c r="A775" s="139" t="n"/>
      <c r="R775" s="138" t="n"/>
      <c r="S775" s="139" t="n"/>
      <c r="U775" s="138" t="n"/>
    </row>
    <row r="776">
      <c r="A776" s="139" t="n"/>
      <c r="R776" s="138" t="n"/>
      <c r="S776" s="139" t="n"/>
      <c r="U776" s="138" t="n"/>
    </row>
    <row r="777">
      <c r="A777" s="139" t="n"/>
      <c r="R777" s="138" t="n"/>
      <c r="S777" s="139" t="n"/>
      <c r="U777" s="138" t="n"/>
    </row>
    <row r="778">
      <c r="A778" s="139" t="n"/>
      <c r="R778" s="138" t="n"/>
      <c r="S778" s="139" t="n"/>
      <c r="U778" s="138" t="n"/>
    </row>
    <row r="779">
      <c r="A779" s="139" t="n"/>
      <c r="R779" s="138" t="n"/>
      <c r="S779" s="139" t="n"/>
      <c r="U779" s="138" t="n"/>
    </row>
    <row r="780">
      <c r="A780" s="139" t="n"/>
      <c r="R780" s="138" t="n"/>
      <c r="S780" s="139" t="n"/>
      <c r="U780" s="138" t="n"/>
    </row>
    <row r="781">
      <c r="A781" s="139" t="n"/>
      <c r="R781" s="138" t="n"/>
      <c r="S781" s="139" t="n"/>
      <c r="U781" s="138" t="n"/>
    </row>
    <row r="782">
      <c r="A782" s="139" t="n"/>
      <c r="R782" s="138" t="n"/>
      <c r="S782" s="139" t="n"/>
      <c r="U782" s="138" t="n"/>
    </row>
    <row r="783">
      <c r="A783" s="139" t="n"/>
      <c r="R783" s="138" t="n"/>
      <c r="S783" s="139" t="n"/>
      <c r="U783" s="138" t="n"/>
    </row>
    <row r="784">
      <c r="A784" s="139" t="n"/>
      <c r="R784" s="138" t="n"/>
      <c r="S784" s="139" t="n"/>
      <c r="U784" s="138" t="n"/>
    </row>
    <row r="785">
      <c r="A785" s="139" t="n"/>
      <c r="R785" s="138" t="n"/>
      <c r="S785" s="139" t="n"/>
      <c r="U785" s="138" t="n"/>
    </row>
    <row r="786">
      <c r="A786" s="139" t="n"/>
      <c r="R786" s="138" t="n"/>
      <c r="S786" s="139" t="n"/>
      <c r="U786" s="138" t="n"/>
    </row>
    <row r="787">
      <c r="A787" s="139" t="n"/>
      <c r="R787" s="138" t="n"/>
      <c r="S787" s="139" t="n"/>
      <c r="U787" s="138" t="n"/>
    </row>
    <row r="788">
      <c r="A788" s="139" t="n"/>
      <c r="R788" s="138" t="n"/>
      <c r="S788" s="139" t="n"/>
      <c r="U788" s="138" t="n"/>
    </row>
    <row r="789">
      <c r="A789" s="139" t="n"/>
      <c r="R789" s="138" t="n"/>
      <c r="S789" s="139" t="n"/>
      <c r="U789" s="138" t="n"/>
    </row>
    <row r="790">
      <c r="A790" s="139" t="n"/>
      <c r="R790" s="138" t="n"/>
      <c r="S790" s="139" t="n"/>
      <c r="U790" s="138" t="n"/>
    </row>
    <row r="791">
      <c r="A791" s="139" t="n"/>
      <c r="R791" s="138" t="n"/>
      <c r="S791" s="139" t="n"/>
      <c r="U791" s="138" t="n"/>
    </row>
    <row r="792">
      <c r="A792" s="139" t="n"/>
      <c r="R792" s="138" t="n"/>
      <c r="S792" s="139" t="n"/>
      <c r="U792" s="138" t="n"/>
    </row>
    <row r="793">
      <c r="A793" s="139" t="n"/>
      <c r="R793" s="138" t="n"/>
      <c r="S793" s="139" t="n"/>
      <c r="U793" s="138" t="n"/>
    </row>
    <row r="794">
      <c r="A794" s="139" t="n"/>
      <c r="R794" s="138" t="n"/>
      <c r="S794" s="139" t="n"/>
      <c r="U794" s="138" t="n"/>
    </row>
    <row r="795">
      <c r="A795" s="139" t="n"/>
      <c r="R795" s="138" t="n"/>
      <c r="S795" s="139" t="n"/>
      <c r="U795" s="138" t="n"/>
    </row>
    <row r="796">
      <c r="A796" s="139" t="n"/>
      <c r="R796" s="138" t="n"/>
      <c r="S796" s="139" t="n"/>
      <c r="U796" s="138" t="n"/>
    </row>
    <row r="797">
      <c r="A797" s="139" t="n"/>
      <c r="R797" s="138" t="n"/>
      <c r="S797" s="139" t="n"/>
      <c r="U797" s="138" t="n"/>
    </row>
    <row r="798">
      <c r="A798" s="139" t="n"/>
      <c r="R798" s="138" t="n"/>
      <c r="S798" s="139" t="n"/>
      <c r="U798" s="138" t="n"/>
    </row>
    <row r="799">
      <c r="A799" s="139" t="n"/>
      <c r="R799" s="138" t="n"/>
      <c r="S799" s="139" t="n"/>
      <c r="U799" s="138" t="n"/>
    </row>
    <row r="800">
      <c r="A800" s="139" t="n"/>
      <c r="R800" s="138" t="n"/>
      <c r="S800" s="139" t="n"/>
      <c r="U800" s="138" t="n"/>
    </row>
    <row r="801">
      <c r="A801" s="139" t="n"/>
      <c r="R801" s="138" t="n"/>
      <c r="S801" s="139" t="n"/>
      <c r="U801" s="138" t="n"/>
    </row>
    <row r="802">
      <c r="A802" s="139" t="n"/>
      <c r="R802" s="138" t="n"/>
      <c r="S802" s="139" t="n"/>
      <c r="U802" s="138" t="n"/>
    </row>
    <row r="803">
      <c r="A803" s="139" t="n"/>
      <c r="R803" s="138" t="n"/>
      <c r="S803" s="139" t="n"/>
      <c r="U803" s="138" t="n"/>
    </row>
    <row r="804">
      <c r="A804" s="139" t="n"/>
      <c r="R804" s="138" t="n"/>
      <c r="S804" s="139" t="n"/>
      <c r="U804" s="138" t="n"/>
    </row>
    <row r="805">
      <c r="A805" s="139" t="n"/>
      <c r="R805" s="138" t="n"/>
      <c r="S805" s="139" t="n"/>
      <c r="U805" s="138" t="n"/>
    </row>
    <row r="806">
      <c r="A806" s="139" t="n"/>
      <c r="R806" s="138" t="n"/>
      <c r="S806" s="139" t="n"/>
      <c r="U806" s="138" t="n"/>
    </row>
    <row r="807">
      <c r="A807" s="139" t="n"/>
      <c r="R807" s="138" t="n"/>
      <c r="S807" s="139" t="n"/>
      <c r="U807" s="138" t="n"/>
    </row>
    <row r="808">
      <c r="A808" s="139" t="n"/>
      <c r="R808" s="138" t="n"/>
      <c r="S808" s="139" t="n"/>
      <c r="U808" s="138" t="n"/>
    </row>
    <row r="809">
      <c r="A809" s="139" t="n"/>
      <c r="R809" s="138" t="n"/>
      <c r="S809" s="139" t="n"/>
      <c r="U809" s="138" t="n"/>
    </row>
    <row r="810">
      <c r="A810" s="139" t="n"/>
      <c r="R810" s="138" t="n"/>
      <c r="S810" s="139" t="n"/>
      <c r="U810" s="138" t="n"/>
    </row>
    <row r="811">
      <c r="A811" s="139" t="n"/>
      <c r="R811" s="138" t="n"/>
      <c r="S811" s="139" t="n"/>
      <c r="U811" s="138" t="n"/>
    </row>
    <row r="812">
      <c r="A812" s="139" t="n"/>
      <c r="R812" s="138" t="n"/>
      <c r="S812" s="139" t="n"/>
      <c r="U812" s="138" t="n"/>
    </row>
    <row r="813">
      <c r="A813" s="139" t="n"/>
      <c r="R813" s="138" t="n"/>
      <c r="S813" s="139" t="n"/>
      <c r="U813" s="138" t="n"/>
    </row>
    <row r="814">
      <c r="A814" s="139" t="n"/>
      <c r="R814" s="138" t="n"/>
      <c r="S814" s="139" t="n"/>
      <c r="U814" s="138" t="n"/>
    </row>
    <row r="815">
      <c r="A815" s="139" t="n"/>
      <c r="R815" s="138" t="n"/>
      <c r="S815" s="139" t="n"/>
      <c r="U815" s="138" t="n"/>
    </row>
    <row r="816">
      <c r="A816" s="139" t="n"/>
      <c r="R816" s="138" t="n"/>
      <c r="S816" s="139" t="n"/>
      <c r="U816" s="138" t="n"/>
    </row>
    <row r="817">
      <c r="A817" s="139" t="n"/>
      <c r="R817" s="138" t="n"/>
      <c r="S817" s="139" t="n"/>
      <c r="U817" s="138" t="n"/>
    </row>
    <row r="818">
      <c r="A818" s="139" t="n"/>
      <c r="R818" s="138" t="n"/>
      <c r="S818" s="139" t="n"/>
      <c r="U818" s="138" t="n"/>
    </row>
    <row r="819">
      <c r="A819" s="139" t="n"/>
      <c r="R819" s="138" t="n"/>
      <c r="S819" s="139" t="n"/>
      <c r="U819" s="138" t="n"/>
    </row>
    <row r="820">
      <c r="A820" s="139" t="n"/>
      <c r="R820" s="138" t="n"/>
      <c r="S820" s="139" t="n"/>
      <c r="U820" s="138" t="n"/>
    </row>
    <row r="821">
      <c r="A821" s="139" t="n"/>
      <c r="R821" s="138" t="n"/>
      <c r="S821" s="139" t="n"/>
      <c r="U821" s="138" t="n"/>
    </row>
    <row r="822">
      <c r="A822" s="139" t="n"/>
      <c r="R822" s="138" t="n"/>
      <c r="S822" s="139" t="n"/>
      <c r="U822" s="138" t="n"/>
    </row>
    <row r="823">
      <c r="A823" s="139" t="n"/>
      <c r="R823" s="138" t="n"/>
      <c r="S823" s="139" t="n"/>
      <c r="U823" s="138" t="n"/>
    </row>
    <row r="824">
      <c r="A824" s="139" t="n"/>
      <c r="R824" s="138" t="n"/>
      <c r="S824" s="139" t="n"/>
      <c r="U824" s="138" t="n"/>
    </row>
    <row r="825">
      <c r="A825" s="139" t="n"/>
      <c r="R825" s="138" t="n"/>
      <c r="S825" s="139" t="n"/>
      <c r="U825" s="138" t="n"/>
    </row>
    <row r="826">
      <c r="A826" s="139" t="n"/>
      <c r="R826" s="138" t="n"/>
      <c r="S826" s="139" t="n"/>
      <c r="U826" s="138" t="n"/>
    </row>
    <row r="827">
      <c r="A827" s="139" t="n"/>
      <c r="R827" s="138" t="n"/>
      <c r="S827" s="139" t="n"/>
      <c r="U827" s="138" t="n"/>
    </row>
    <row r="828">
      <c r="A828" s="139" t="n"/>
      <c r="R828" s="138" t="n"/>
      <c r="S828" s="139" t="n"/>
      <c r="U828" s="138" t="n"/>
    </row>
    <row r="829">
      <c r="A829" s="139" t="n"/>
      <c r="R829" s="138" t="n"/>
      <c r="S829" s="139" t="n"/>
      <c r="U829" s="138" t="n"/>
    </row>
    <row r="830">
      <c r="A830" s="139" t="n"/>
      <c r="R830" s="138" t="n"/>
      <c r="S830" s="139" t="n"/>
      <c r="U830" s="138" t="n"/>
    </row>
    <row r="831">
      <c r="A831" s="139" t="n"/>
      <c r="R831" s="138" t="n"/>
      <c r="S831" s="139" t="n"/>
      <c r="U831" s="138" t="n"/>
    </row>
    <row r="832">
      <c r="A832" s="139" t="n"/>
      <c r="R832" s="138" t="n"/>
      <c r="S832" s="139" t="n"/>
      <c r="U832" s="138" t="n"/>
    </row>
    <row r="833">
      <c r="A833" s="139" t="n"/>
      <c r="R833" s="138" t="n"/>
      <c r="S833" s="139" t="n"/>
      <c r="U833" s="138" t="n"/>
    </row>
    <row r="834">
      <c r="A834" s="139" t="n"/>
      <c r="R834" s="138" t="n"/>
      <c r="S834" s="139" t="n"/>
      <c r="U834" s="138" t="n"/>
    </row>
    <row r="835">
      <c r="A835" s="139" t="n"/>
      <c r="R835" s="138" t="n"/>
      <c r="S835" s="139" t="n"/>
      <c r="U835" s="138" t="n"/>
    </row>
    <row r="836">
      <c r="A836" s="139" t="n"/>
      <c r="R836" s="138" t="n"/>
      <c r="S836" s="139" t="n"/>
      <c r="U836" s="138" t="n"/>
    </row>
    <row r="837">
      <c r="A837" s="139" t="n"/>
      <c r="R837" s="138" t="n"/>
      <c r="S837" s="139" t="n"/>
      <c r="U837" s="138" t="n"/>
    </row>
    <row r="838">
      <c r="A838" s="139" t="n"/>
      <c r="R838" s="138" t="n"/>
      <c r="S838" s="139" t="n"/>
      <c r="U838" s="138" t="n"/>
    </row>
    <row r="839">
      <c r="A839" s="139" t="n"/>
      <c r="R839" s="138" t="n"/>
      <c r="S839" s="139" t="n"/>
      <c r="U839" s="138" t="n"/>
    </row>
    <row r="840">
      <c r="A840" s="139" t="n"/>
      <c r="R840" s="138" t="n"/>
      <c r="S840" s="139" t="n"/>
      <c r="U840" s="138" t="n"/>
    </row>
    <row r="841">
      <c r="A841" s="139" t="n"/>
      <c r="R841" s="138" t="n"/>
      <c r="S841" s="139" t="n"/>
      <c r="U841" s="138" t="n"/>
    </row>
    <row r="842">
      <c r="A842" s="139" t="n"/>
      <c r="R842" s="138" t="n"/>
      <c r="S842" s="139" t="n"/>
      <c r="U842" s="138" t="n"/>
    </row>
    <row r="843">
      <c r="A843" s="139" t="n"/>
      <c r="R843" s="138" t="n"/>
      <c r="S843" s="139" t="n"/>
      <c r="U843" s="138" t="n"/>
    </row>
    <row r="844">
      <c r="A844" s="139" t="n"/>
      <c r="R844" s="138" t="n"/>
      <c r="S844" s="139" t="n"/>
      <c r="U844" s="138" t="n"/>
    </row>
    <row r="845">
      <c r="A845" s="139" t="n"/>
      <c r="R845" s="138" t="n"/>
      <c r="S845" s="139" t="n"/>
      <c r="U845" s="138" t="n"/>
    </row>
    <row r="846">
      <c r="A846" s="139" t="n"/>
      <c r="R846" s="138" t="n"/>
      <c r="S846" s="139" t="n"/>
      <c r="U846" s="138" t="n"/>
    </row>
    <row r="847">
      <c r="A847" s="139" t="n"/>
      <c r="R847" s="138" t="n"/>
      <c r="S847" s="139" t="n"/>
      <c r="U847" s="138" t="n"/>
    </row>
    <row r="848">
      <c r="A848" s="139" t="n"/>
      <c r="R848" s="138" t="n"/>
      <c r="S848" s="139" t="n"/>
      <c r="U848" s="138" t="n"/>
    </row>
    <row r="849">
      <c r="A849" s="139" t="n"/>
      <c r="R849" s="138" t="n"/>
      <c r="S849" s="139" t="n"/>
      <c r="U849" s="138" t="n"/>
    </row>
    <row r="850">
      <c r="A850" s="139" t="n"/>
      <c r="R850" s="138" t="n"/>
      <c r="S850" s="139" t="n"/>
      <c r="U850" s="138" t="n"/>
    </row>
    <row r="851">
      <c r="A851" s="139" t="n"/>
      <c r="R851" s="138" t="n"/>
      <c r="S851" s="139" t="n"/>
      <c r="U851" s="138" t="n"/>
    </row>
    <row r="852">
      <c r="A852" s="139" t="n"/>
      <c r="R852" s="138" t="n"/>
      <c r="S852" s="139" t="n"/>
      <c r="U852" s="138" t="n"/>
    </row>
    <row r="853">
      <c r="A853" s="139" t="n"/>
      <c r="R853" s="138" t="n"/>
      <c r="S853" s="139" t="n"/>
      <c r="U853" s="138" t="n"/>
    </row>
    <row r="854">
      <c r="A854" s="139" t="n"/>
      <c r="R854" s="138" t="n"/>
      <c r="S854" s="139" t="n"/>
      <c r="U854" s="138" t="n"/>
    </row>
    <row r="855">
      <c r="A855" s="139" t="n"/>
      <c r="R855" s="138" t="n"/>
      <c r="S855" s="139" t="n"/>
      <c r="U855" s="138" t="n"/>
    </row>
    <row r="856">
      <c r="A856" s="139" t="n"/>
      <c r="R856" s="138" t="n"/>
      <c r="S856" s="139" t="n"/>
      <c r="U856" s="138" t="n"/>
    </row>
    <row r="857">
      <c r="A857" s="139" t="n"/>
      <c r="R857" s="138" t="n"/>
      <c r="S857" s="139" t="n"/>
      <c r="U857" s="138" t="n"/>
    </row>
    <row r="858">
      <c r="A858" s="139" t="n"/>
      <c r="R858" s="138" t="n"/>
      <c r="S858" s="139" t="n"/>
      <c r="U858" s="138" t="n"/>
    </row>
    <row r="859">
      <c r="A859" s="139" t="n"/>
      <c r="R859" s="138" t="n"/>
      <c r="S859" s="139" t="n"/>
      <c r="U859" s="138" t="n"/>
    </row>
    <row r="860">
      <c r="A860" s="139" t="n"/>
      <c r="R860" s="138" t="n"/>
      <c r="S860" s="139" t="n"/>
      <c r="U860" s="138" t="n"/>
    </row>
    <row r="861">
      <c r="A861" s="139" t="n"/>
      <c r="R861" s="138" t="n"/>
      <c r="S861" s="139" t="n"/>
      <c r="U861" s="138" t="n"/>
    </row>
    <row r="862">
      <c r="A862" s="139" t="n"/>
      <c r="R862" s="138" t="n"/>
      <c r="S862" s="139" t="n"/>
      <c r="U862" s="138" t="n"/>
    </row>
    <row r="863">
      <c r="A863" s="139" t="n"/>
      <c r="R863" s="138" t="n"/>
      <c r="S863" s="139" t="n"/>
      <c r="U863" s="138" t="n"/>
    </row>
    <row r="864">
      <c r="A864" s="139" t="n"/>
      <c r="R864" s="138" t="n"/>
      <c r="S864" s="139" t="n"/>
      <c r="U864" s="138" t="n"/>
    </row>
    <row r="865">
      <c r="A865" s="139" t="n"/>
      <c r="R865" s="138" t="n"/>
      <c r="S865" s="139" t="n"/>
      <c r="U865" s="138" t="n"/>
    </row>
    <row r="866">
      <c r="A866" s="139" t="n"/>
      <c r="R866" s="138" t="n"/>
      <c r="S866" s="139" t="n"/>
      <c r="U866" s="138" t="n"/>
    </row>
    <row r="867">
      <c r="A867" s="139" t="n"/>
      <c r="R867" s="138" t="n"/>
      <c r="S867" s="139" t="n"/>
      <c r="U867" s="138" t="n"/>
    </row>
    <row r="868">
      <c r="A868" s="139" t="n"/>
      <c r="R868" s="138" t="n"/>
      <c r="S868" s="139" t="n"/>
      <c r="U868" s="138" t="n"/>
    </row>
    <row r="869">
      <c r="A869" s="139" t="n"/>
      <c r="R869" s="138" t="n"/>
      <c r="S869" s="139" t="n"/>
      <c r="U869" s="138" t="n"/>
    </row>
    <row r="870">
      <c r="A870" s="139" t="n"/>
      <c r="R870" s="138" t="n"/>
      <c r="S870" s="139" t="n"/>
      <c r="U870" s="138" t="n"/>
    </row>
    <row r="871">
      <c r="A871" s="139" t="n"/>
      <c r="R871" s="138" t="n"/>
      <c r="S871" s="139" t="n"/>
      <c r="U871" s="138" t="n"/>
    </row>
    <row r="872">
      <c r="A872" s="139" t="n"/>
      <c r="R872" s="138" t="n"/>
      <c r="S872" s="139" t="n"/>
      <c r="U872" s="138" t="n"/>
    </row>
    <row r="873">
      <c r="A873" s="139" t="n"/>
      <c r="R873" s="138" t="n"/>
      <c r="S873" s="139" t="n"/>
      <c r="U873" s="138" t="n"/>
    </row>
    <row r="874">
      <c r="A874" s="139" t="n"/>
      <c r="R874" s="138" t="n"/>
      <c r="S874" s="139" t="n"/>
      <c r="U874" s="138" t="n"/>
    </row>
    <row r="875">
      <c r="A875" s="139" t="n"/>
      <c r="R875" s="138" t="n"/>
      <c r="S875" s="139" t="n"/>
      <c r="U875" s="138" t="n"/>
    </row>
    <row r="876">
      <c r="A876" s="139" t="n"/>
      <c r="R876" s="138" t="n"/>
      <c r="S876" s="139" t="n"/>
      <c r="U876" s="138" t="n"/>
    </row>
    <row r="877">
      <c r="A877" s="139" t="n"/>
      <c r="R877" s="138" t="n"/>
      <c r="S877" s="139" t="n"/>
      <c r="U877" s="138" t="n"/>
    </row>
    <row r="878">
      <c r="A878" s="139" t="n"/>
      <c r="R878" s="138" t="n"/>
      <c r="S878" s="139" t="n"/>
      <c r="U878" s="138" t="n"/>
    </row>
    <row r="879">
      <c r="A879" s="139" t="n"/>
      <c r="R879" s="138" t="n"/>
      <c r="S879" s="139" t="n"/>
      <c r="U879" s="138" t="n"/>
    </row>
    <row r="880">
      <c r="A880" s="139" t="n"/>
      <c r="R880" s="138" t="n"/>
      <c r="S880" s="139" t="n"/>
      <c r="U880" s="138" t="n"/>
    </row>
    <row r="881">
      <c r="A881" s="139" t="n"/>
      <c r="R881" s="138" t="n"/>
      <c r="S881" s="139" t="n"/>
      <c r="U881" s="138" t="n"/>
    </row>
    <row r="882">
      <c r="A882" s="139" t="n"/>
      <c r="R882" s="138" t="n"/>
      <c r="S882" s="139" t="n"/>
      <c r="U882" s="138" t="n"/>
    </row>
    <row r="883">
      <c r="A883" s="139" t="n"/>
      <c r="R883" s="138" t="n"/>
      <c r="S883" s="139" t="n"/>
      <c r="U883" s="138" t="n"/>
    </row>
    <row r="884">
      <c r="A884" s="139" t="n"/>
      <c r="R884" s="138" t="n"/>
      <c r="S884" s="139" t="n"/>
      <c r="U884" s="138" t="n"/>
    </row>
    <row r="885">
      <c r="A885" s="139" t="n"/>
      <c r="R885" s="138" t="n"/>
      <c r="S885" s="139" t="n"/>
      <c r="U885" s="138" t="n"/>
    </row>
    <row r="886">
      <c r="A886" s="139" t="n"/>
      <c r="R886" s="138" t="n"/>
      <c r="S886" s="139" t="n"/>
      <c r="U886" s="138" t="n"/>
    </row>
    <row r="887">
      <c r="A887" s="139" t="n"/>
      <c r="R887" s="138" t="n"/>
      <c r="S887" s="139" t="n"/>
      <c r="U887" s="138" t="n"/>
    </row>
    <row r="888">
      <c r="A888" s="139" t="n"/>
      <c r="R888" s="138" t="n"/>
      <c r="S888" s="139" t="n"/>
      <c r="U888" s="138" t="n"/>
    </row>
    <row r="889">
      <c r="A889" s="139" t="n"/>
      <c r="R889" s="138" t="n"/>
      <c r="S889" s="139" t="n"/>
      <c r="U889" s="138" t="n"/>
    </row>
    <row r="890">
      <c r="A890" s="139" t="n"/>
      <c r="R890" s="138" t="n"/>
      <c r="S890" s="139" t="n"/>
      <c r="U890" s="138" t="n"/>
    </row>
    <row r="891">
      <c r="A891" s="139" t="n"/>
      <c r="R891" s="138" t="n"/>
      <c r="S891" s="139" t="n"/>
      <c r="U891" s="138" t="n"/>
    </row>
    <row r="892">
      <c r="A892" s="139" t="n"/>
      <c r="R892" s="138" t="n"/>
      <c r="S892" s="139" t="n"/>
      <c r="U892" s="138" t="n"/>
    </row>
    <row r="893">
      <c r="A893" s="139" t="n"/>
      <c r="R893" s="138" t="n"/>
      <c r="S893" s="139" t="n"/>
      <c r="U893" s="138" t="n"/>
    </row>
    <row r="894">
      <c r="A894" s="139" t="n"/>
      <c r="R894" s="138" t="n"/>
      <c r="S894" s="139" t="n"/>
      <c r="U894" s="138" t="n"/>
    </row>
    <row r="895">
      <c r="A895" s="139" t="n"/>
      <c r="R895" s="138" t="n"/>
      <c r="S895" s="139" t="n"/>
      <c r="U895" s="138" t="n"/>
    </row>
    <row r="896">
      <c r="A896" s="139" t="n"/>
      <c r="R896" s="138" t="n"/>
      <c r="S896" s="139" t="n"/>
      <c r="U896" s="138" t="n"/>
    </row>
    <row r="897">
      <c r="A897" s="139" t="n"/>
      <c r="R897" s="138" t="n"/>
      <c r="S897" s="139" t="n"/>
      <c r="U897" s="138" t="n"/>
    </row>
    <row r="898">
      <c r="A898" s="139" t="n"/>
      <c r="R898" s="138" t="n"/>
      <c r="S898" s="139" t="n"/>
      <c r="U898" s="138" t="n"/>
    </row>
    <row r="899">
      <c r="A899" s="139" t="n"/>
      <c r="R899" s="138" t="n"/>
      <c r="S899" s="139" t="n"/>
      <c r="U899" s="138" t="n"/>
    </row>
    <row r="900">
      <c r="A900" s="139" t="n"/>
      <c r="R900" s="138" t="n"/>
      <c r="S900" s="139" t="n"/>
      <c r="U900" s="138" t="n"/>
    </row>
    <row r="901">
      <c r="A901" s="139" t="n"/>
      <c r="R901" s="138" t="n"/>
      <c r="S901" s="139" t="n"/>
      <c r="U901" s="138" t="n"/>
    </row>
    <row r="902">
      <c r="A902" s="139" t="n"/>
      <c r="R902" s="138" t="n"/>
      <c r="S902" s="139" t="n"/>
      <c r="U902" s="138" t="n"/>
    </row>
    <row r="903">
      <c r="A903" s="139" t="n"/>
      <c r="R903" s="138" t="n"/>
      <c r="S903" s="139" t="n"/>
      <c r="U903" s="138" t="n"/>
    </row>
    <row r="904">
      <c r="A904" s="139" t="n"/>
      <c r="R904" s="138" t="n"/>
      <c r="S904" s="139" t="n"/>
      <c r="U904" s="138" t="n"/>
    </row>
    <row r="905">
      <c r="A905" s="139" t="n"/>
      <c r="R905" s="138" t="n"/>
      <c r="S905" s="139" t="n"/>
      <c r="U905" s="138" t="n"/>
    </row>
    <row r="906">
      <c r="A906" s="139" t="n"/>
      <c r="R906" s="138" t="n"/>
      <c r="S906" s="139" t="n"/>
      <c r="U906" s="138" t="n"/>
    </row>
    <row r="907">
      <c r="A907" s="139" t="n"/>
      <c r="R907" s="138" t="n"/>
      <c r="S907" s="139" t="n"/>
      <c r="U907" s="138" t="n"/>
    </row>
    <row r="908">
      <c r="A908" s="139" t="n"/>
      <c r="R908" s="138" t="n"/>
      <c r="S908" s="139" t="n"/>
      <c r="U908" s="138" t="n"/>
    </row>
    <row r="909">
      <c r="A909" s="139" t="n"/>
      <c r="R909" s="138" t="n"/>
      <c r="S909" s="139" t="n"/>
      <c r="U909" s="138" t="n"/>
    </row>
    <row r="910">
      <c r="A910" s="139" t="n"/>
      <c r="R910" s="138" t="n"/>
      <c r="S910" s="139" t="n"/>
      <c r="U910" s="138" t="n"/>
    </row>
    <row r="911">
      <c r="A911" s="139" t="n"/>
      <c r="R911" s="138" t="n"/>
      <c r="S911" s="139" t="n"/>
      <c r="U911" s="138" t="n"/>
    </row>
    <row r="912">
      <c r="A912" s="139" t="n"/>
      <c r="R912" s="138" t="n"/>
      <c r="S912" s="139" t="n"/>
      <c r="U912" s="138" t="n"/>
    </row>
    <row r="913">
      <c r="A913" s="139" t="n"/>
      <c r="R913" s="138" t="n"/>
      <c r="S913" s="139" t="n"/>
      <c r="U913" s="138" t="n"/>
    </row>
    <row r="914">
      <c r="A914" s="139" t="n"/>
      <c r="R914" s="138" t="n"/>
      <c r="S914" s="139" t="n"/>
      <c r="U914" s="138" t="n"/>
    </row>
    <row r="915">
      <c r="A915" s="139" t="n"/>
      <c r="R915" s="138" t="n"/>
      <c r="S915" s="139" t="n"/>
      <c r="U915" s="138" t="n"/>
    </row>
    <row r="916">
      <c r="A916" s="139" t="n"/>
      <c r="R916" s="138" t="n"/>
      <c r="S916" s="139" t="n"/>
      <c r="U916" s="138" t="n"/>
    </row>
    <row r="917">
      <c r="A917" s="139" t="n"/>
      <c r="R917" s="138" t="n"/>
      <c r="S917" s="139" t="n"/>
      <c r="U917" s="138" t="n"/>
    </row>
    <row r="918">
      <c r="A918" s="139" t="n"/>
      <c r="R918" s="138" t="n"/>
      <c r="S918" s="139" t="n"/>
      <c r="U918" s="138" t="n"/>
    </row>
    <row r="919">
      <c r="A919" s="139" t="n"/>
      <c r="R919" s="138" t="n"/>
      <c r="S919" s="139" t="n"/>
      <c r="U919" s="138" t="n"/>
    </row>
    <row r="920">
      <c r="A920" s="139" t="n"/>
      <c r="R920" s="138" t="n"/>
      <c r="S920" s="139" t="n"/>
      <c r="U920" s="138" t="n"/>
    </row>
    <row r="921">
      <c r="A921" s="139" t="n"/>
      <c r="R921" s="138" t="n"/>
      <c r="S921" s="139" t="n"/>
      <c r="U921" s="138" t="n"/>
    </row>
    <row r="922">
      <c r="A922" s="139" t="n"/>
      <c r="R922" s="138" t="n"/>
      <c r="S922" s="139" t="n"/>
      <c r="U922" s="138" t="n"/>
    </row>
    <row r="923">
      <c r="A923" s="139" t="n"/>
      <c r="R923" s="138" t="n"/>
      <c r="S923" s="139" t="n"/>
      <c r="U923" s="138" t="n"/>
    </row>
    <row r="924">
      <c r="A924" s="139" t="n"/>
      <c r="R924" s="138" t="n"/>
      <c r="S924" s="139" t="n"/>
      <c r="U924" s="138" t="n"/>
    </row>
    <row r="925">
      <c r="A925" s="139" t="n"/>
      <c r="R925" s="138" t="n"/>
      <c r="S925" s="139" t="n"/>
      <c r="U925" s="138" t="n"/>
    </row>
    <row r="926">
      <c r="A926" s="139" t="n"/>
      <c r="R926" s="138" t="n"/>
      <c r="S926" s="139" t="n"/>
      <c r="U926" s="138" t="n"/>
    </row>
    <row r="927">
      <c r="A927" s="139" t="n"/>
      <c r="R927" s="138" t="n"/>
      <c r="S927" s="139" t="n"/>
      <c r="U927" s="138" t="n"/>
    </row>
    <row r="928">
      <c r="A928" s="139" t="n"/>
      <c r="R928" s="138" t="n"/>
      <c r="S928" s="139" t="n"/>
      <c r="U928" s="138" t="n"/>
    </row>
    <row r="929">
      <c r="A929" s="139" t="n"/>
      <c r="R929" s="138" t="n"/>
      <c r="S929" s="139" t="n"/>
      <c r="U929" s="138" t="n"/>
    </row>
    <row r="930">
      <c r="A930" s="139" t="n"/>
      <c r="R930" s="138" t="n"/>
      <c r="S930" s="139" t="n"/>
      <c r="U930" s="138" t="n"/>
    </row>
    <row r="931">
      <c r="A931" s="139" t="n"/>
      <c r="R931" s="138" t="n"/>
      <c r="S931" s="139" t="n"/>
      <c r="U931" s="138" t="n"/>
    </row>
    <row r="932">
      <c r="A932" s="139" t="n"/>
      <c r="R932" s="138" t="n"/>
      <c r="S932" s="139" t="n"/>
      <c r="U932" s="138" t="n"/>
    </row>
    <row r="933">
      <c r="A933" s="139" t="n"/>
      <c r="R933" s="138" t="n"/>
      <c r="S933" s="139" t="n"/>
      <c r="U933" s="138" t="n"/>
    </row>
    <row r="934">
      <c r="A934" s="139" t="n"/>
      <c r="R934" s="138" t="n"/>
      <c r="S934" s="139" t="n"/>
      <c r="U934" s="138" t="n"/>
    </row>
    <row r="935">
      <c r="A935" s="139" t="n"/>
      <c r="R935" s="138" t="n"/>
      <c r="S935" s="139" t="n"/>
      <c r="U935" s="138" t="n"/>
    </row>
    <row r="936">
      <c r="A936" s="139" t="n"/>
      <c r="R936" s="138" t="n"/>
      <c r="S936" s="139" t="n"/>
      <c r="U936" s="138" t="n"/>
    </row>
    <row r="937">
      <c r="A937" s="139" t="n"/>
      <c r="R937" s="138" t="n"/>
      <c r="S937" s="139" t="n"/>
      <c r="U937" s="138" t="n"/>
    </row>
    <row r="938">
      <c r="A938" s="139" t="n"/>
      <c r="R938" s="138" t="n"/>
      <c r="S938" s="139" t="n"/>
      <c r="U938" s="138" t="n"/>
    </row>
    <row r="939">
      <c r="A939" s="139" t="n"/>
      <c r="R939" s="138" t="n"/>
      <c r="S939" s="139" t="n"/>
      <c r="U939" s="138" t="n"/>
    </row>
    <row r="940">
      <c r="A940" s="139" t="n"/>
      <c r="R940" s="138" t="n"/>
      <c r="S940" s="139" t="n"/>
      <c r="U940" s="138" t="n"/>
    </row>
    <row r="941">
      <c r="A941" s="139" t="n"/>
      <c r="R941" s="138" t="n"/>
      <c r="S941" s="139" t="n"/>
      <c r="U941" s="138" t="n"/>
    </row>
    <row r="942">
      <c r="A942" s="139" t="n"/>
      <c r="R942" s="138" t="n"/>
      <c r="S942" s="139" t="n"/>
      <c r="U942" s="138" t="n"/>
    </row>
    <row r="943">
      <c r="A943" s="139" t="n"/>
      <c r="R943" s="138" t="n"/>
      <c r="S943" s="139" t="n"/>
      <c r="U943" s="138" t="n"/>
    </row>
    <row r="944">
      <c r="A944" s="139" t="n"/>
      <c r="R944" s="138" t="n"/>
      <c r="S944" s="139" t="n"/>
      <c r="U944" s="138" t="n"/>
    </row>
    <row r="945">
      <c r="A945" s="139" t="n"/>
      <c r="R945" s="138" t="n"/>
      <c r="S945" s="139" t="n"/>
      <c r="U945" s="138" t="n"/>
    </row>
    <row r="946">
      <c r="A946" s="139" t="n"/>
      <c r="R946" s="138" t="n"/>
      <c r="S946" s="139" t="n"/>
      <c r="U946" s="138" t="n"/>
    </row>
    <row r="947">
      <c r="A947" s="139" t="n"/>
      <c r="R947" s="138" t="n"/>
      <c r="S947" s="139" t="n"/>
      <c r="U947" s="138" t="n"/>
    </row>
    <row r="948">
      <c r="A948" s="139" t="n"/>
      <c r="R948" s="138" t="n"/>
      <c r="S948" s="139" t="n"/>
      <c r="U948" s="138" t="n"/>
    </row>
    <row r="949">
      <c r="A949" s="139" t="n"/>
      <c r="R949" s="138" t="n"/>
      <c r="S949" s="139" t="n"/>
      <c r="U949" s="138" t="n"/>
    </row>
    <row r="950">
      <c r="A950" s="139" t="n"/>
      <c r="R950" s="138" t="n"/>
      <c r="S950" s="139" t="n"/>
      <c r="U950" s="138" t="n"/>
    </row>
    <row r="951">
      <c r="A951" s="139" t="n"/>
      <c r="R951" s="138" t="n"/>
      <c r="S951" s="139" t="n"/>
      <c r="U951" s="138" t="n"/>
    </row>
    <row r="952">
      <c r="A952" s="139" t="n"/>
      <c r="R952" s="138" t="n"/>
      <c r="S952" s="139" t="n"/>
      <c r="U952" s="138" t="n"/>
    </row>
    <row r="953">
      <c r="A953" s="139" t="n"/>
      <c r="R953" s="138" t="n"/>
      <c r="S953" s="139" t="n"/>
      <c r="U953" s="138" t="n"/>
    </row>
    <row r="954">
      <c r="A954" s="139" t="n"/>
      <c r="R954" s="138" t="n"/>
      <c r="S954" s="139" t="n"/>
      <c r="U954" s="138" t="n"/>
    </row>
    <row r="955">
      <c r="A955" s="139" t="n"/>
      <c r="R955" s="138" t="n"/>
      <c r="S955" s="139" t="n"/>
      <c r="U955" s="138" t="n"/>
    </row>
    <row r="956">
      <c r="A956" s="139" t="n"/>
      <c r="R956" s="138" t="n"/>
      <c r="S956" s="139" t="n"/>
      <c r="U956" s="138" t="n"/>
    </row>
    <row r="957">
      <c r="A957" s="139" t="n"/>
      <c r="R957" s="138" t="n"/>
      <c r="S957" s="139" t="n"/>
      <c r="U957" s="138" t="n"/>
    </row>
    <row r="958">
      <c r="A958" s="139" t="n"/>
      <c r="R958" s="138" t="n"/>
      <c r="S958" s="139" t="n"/>
      <c r="U958" s="138" t="n"/>
    </row>
    <row r="959">
      <c r="A959" s="139" t="n"/>
      <c r="R959" s="138" t="n"/>
      <c r="S959" s="139" t="n"/>
      <c r="U959" s="138" t="n"/>
    </row>
    <row r="960">
      <c r="A960" s="139" t="n"/>
      <c r="R960" s="138" t="n"/>
      <c r="S960" s="139" t="n"/>
      <c r="U960" s="138" t="n"/>
    </row>
    <row r="961">
      <c r="A961" s="139" t="n"/>
      <c r="R961" s="138" t="n"/>
      <c r="S961" s="139" t="n"/>
      <c r="U961" s="138" t="n"/>
    </row>
    <row r="962">
      <c r="A962" s="139" t="n"/>
      <c r="R962" s="138" t="n"/>
      <c r="S962" s="139" t="n"/>
      <c r="U962" s="138" t="n"/>
    </row>
    <row r="963">
      <c r="A963" s="139" t="n"/>
      <c r="R963" s="138" t="n"/>
      <c r="S963" s="139" t="n"/>
      <c r="U963" s="138" t="n"/>
    </row>
    <row r="964">
      <c r="A964" s="139" t="n"/>
      <c r="R964" s="138" t="n"/>
      <c r="S964" s="139" t="n"/>
      <c r="U964" s="138" t="n"/>
    </row>
    <row r="965">
      <c r="A965" s="139" t="n"/>
      <c r="R965" s="138" t="n"/>
      <c r="S965" s="139" t="n"/>
      <c r="U965" s="138" t="n"/>
    </row>
    <row r="966">
      <c r="A966" s="139" t="n"/>
      <c r="R966" s="138" t="n"/>
      <c r="S966" s="139" t="n"/>
      <c r="U966" s="138" t="n"/>
    </row>
    <row r="967">
      <c r="A967" s="139" t="n"/>
      <c r="R967" s="138" t="n"/>
      <c r="S967" s="139" t="n"/>
      <c r="U967" s="138" t="n"/>
    </row>
    <row r="968">
      <c r="A968" s="139" t="n"/>
      <c r="R968" s="138" t="n"/>
      <c r="S968" s="139" t="n"/>
      <c r="U968" s="138" t="n"/>
    </row>
    <row r="969">
      <c r="A969" s="139" t="n"/>
      <c r="R969" s="138" t="n"/>
      <c r="S969" s="139" t="n"/>
      <c r="U969" s="138" t="n"/>
    </row>
    <row r="970">
      <c r="A970" s="139" t="n"/>
      <c r="R970" s="138" t="n"/>
      <c r="S970" s="139" t="n"/>
      <c r="U970" s="138" t="n"/>
    </row>
    <row r="971">
      <c r="A971" s="139" t="n"/>
      <c r="R971" s="138" t="n"/>
      <c r="S971" s="139" t="n"/>
      <c r="U971" s="138" t="n"/>
    </row>
    <row r="972">
      <c r="A972" s="139" t="n"/>
      <c r="R972" s="138" t="n"/>
      <c r="S972" s="139" t="n"/>
      <c r="U972" s="138" t="n"/>
    </row>
    <row r="973">
      <c r="A973" s="139" t="n"/>
      <c r="R973" s="138" t="n"/>
      <c r="S973" s="139" t="n"/>
      <c r="U973" s="138" t="n"/>
    </row>
    <row r="974">
      <c r="A974" s="139" t="n"/>
      <c r="R974" s="138" t="n"/>
      <c r="S974" s="139" t="n"/>
      <c r="U974" s="138" t="n"/>
    </row>
    <row r="975">
      <c r="A975" s="139" t="n"/>
      <c r="R975" s="138" t="n"/>
      <c r="S975" s="139" t="n"/>
      <c r="U975" s="138" t="n"/>
    </row>
    <row r="976">
      <c r="A976" s="139" t="n"/>
      <c r="R976" s="138" t="n"/>
      <c r="S976" s="139" t="n"/>
      <c r="U976" s="138" t="n"/>
    </row>
    <row r="977">
      <c r="A977" s="139" t="n"/>
      <c r="R977" s="138" t="n"/>
      <c r="S977" s="139" t="n"/>
      <c r="U977" s="138" t="n"/>
    </row>
    <row r="978">
      <c r="A978" s="139" t="n"/>
      <c r="R978" s="138" t="n"/>
      <c r="S978" s="139" t="n"/>
      <c r="U978" s="138" t="n"/>
    </row>
    <row r="979">
      <c r="A979" s="139" t="n"/>
      <c r="R979" s="138" t="n"/>
      <c r="S979" s="139" t="n"/>
      <c r="U979" s="138" t="n"/>
    </row>
    <row r="980">
      <c r="A980" s="139" t="n"/>
      <c r="R980" s="138" t="n"/>
      <c r="S980" s="139" t="n"/>
      <c r="U980" s="138" t="n"/>
    </row>
    <row r="981">
      <c r="A981" s="139" t="n"/>
      <c r="R981" s="138" t="n"/>
      <c r="S981" s="139" t="n"/>
      <c r="U981" s="138" t="n"/>
    </row>
    <row r="982">
      <c r="A982" s="139" t="n"/>
      <c r="R982" s="138" t="n"/>
      <c r="S982" s="139" t="n"/>
      <c r="U982" s="138" t="n"/>
    </row>
    <row r="983">
      <c r="A983" s="139" t="n"/>
      <c r="R983" s="138" t="n"/>
      <c r="S983" s="139" t="n"/>
      <c r="U983" s="138" t="n"/>
    </row>
    <row r="984">
      <c r="A984" s="139" t="n"/>
      <c r="R984" s="138" t="n"/>
      <c r="S984" s="139" t="n"/>
      <c r="U984" s="138" t="n"/>
    </row>
    <row r="985">
      <c r="A985" s="139" t="n"/>
      <c r="R985" s="138" t="n"/>
      <c r="S985" s="139" t="n"/>
      <c r="U985" s="138" t="n"/>
    </row>
    <row r="986">
      <c r="A986" s="139" t="n"/>
      <c r="R986" s="138" t="n"/>
      <c r="S986" s="139" t="n"/>
      <c r="U986" s="138" t="n"/>
    </row>
    <row r="987">
      <c r="A987" s="139" t="n"/>
      <c r="R987" s="138" t="n"/>
      <c r="S987" s="139" t="n"/>
      <c r="U987" s="138" t="n"/>
    </row>
    <row r="988">
      <c r="A988" s="139" t="n"/>
      <c r="R988" s="138" t="n"/>
      <c r="S988" s="139" t="n"/>
      <c r="U988" s="138" t="n"/>
    </row>
    <row r="989">
      <c r="A989" s="139" t="n"/>
      <c r="R989" s="138" t="n"/>
      <c r="S989" s="139" t="n"/>
      <c r="U989" s="138" t="n"/>
    </row>
    <row r="990">
      <c r="A990" s="139" t="n"/>
      <c r="R990" s="138" t="n"/>
      <c r="S990" s="139" t="n"/>
      <c r="U990" s="138" t="n"/>
    </row>
    <row r="991">
      <c r="A991" s="139" t="n"/>
      <c r="R991" s="138" t="n"/>
      <c r="S991" s="139" t="n"/>
      <c r="U991" s="138" t="n"/>
    </row>
    <row r="992">
      <c r="A992" s="139" t="n"/>
      <c r="R992" s="138" t="n"/>
      <c r="S992" s="139" t="n"/>
      <c r="U992" s="138" t="n"/>
    </row>
    <row r="993">
      <c r="A993" s="139" t="n"/>
      <c r="R993" s="138" t="n"/>
      <c r="S993" s="139" t="n"/>
      <c r="U993" s="138" t="n"/>
    </row>
    <row r="994">
      <c r="A994" s="139" t="n"/>
      <c r="R994" s="138" t="n"/>
      <c r="S994" s="139" t="n"/>
      <c r="U994" s="138" t="n"/>
    </row>
    <row r="995">
      <c r="A995" s="139" t="n"/>
      <c r="R995" s="138" t="n"/>
      <c r="S995" s="139" t="n"/>
      <c r="U995" s="138" t="n"/>
    </row>
    <row r="996">
      <c r="A996" s="139" t="n"/>
      <c r="R996" s="138" t="n"/>
      <c r="S996" s="139" t="n"/>
      <c r="U996" s="138" t="n"/>
    </row>
    <row r="997">
      <c r="A997" s="139" t="n"/>
      <c r="R997" s="138" t="n"/>
      <c r="S997" s="139" t="n"/>
      <c r="U997" s="138" t="n"/>
    </row>
    <row r="998">
      <c r="A998" s="139" t="n"/>
      <c r="R998" s="138" t="n"/>
      <c r="S998" s="139" t="n"/>
      <c r="U998" s="138" t="n"/>
    </row>
    <row r="999">
      <c r="A999" s="139" t="n"/>
      <c r="R999" s="138" t="n"/>
      <c r="S999" s="139" t="n"/>
      <c r="U999" s="138" t="n"/>
    </row>
    <row r="1000">
      <c r="A1000" s="139" t="n"/>
      <c r="R1000" s="138" t="n"/>
      <c r="S1000" s="139" t="n"/>
      <c r="U1000" s="138" t="n"/>
    </row>
    <row r="1001">
      <c r="A1001" s="139" t="n"/>
      <c r="R1001" s="138" t="n"/>
      <c r="S1001" s="139" t="n"/>
      <c r="U1001" s="138" t="n"/>
    </row>
    <row r="1002">
      <c r="A1002" s="139" t="n"/>
      <c r="R1002" s="138" t="n"/>
      <c r="S1002" s="139" t="n"/>
      <c r="U1002" s="138" t="n"/>
    </row>
    <row r="1003">
      <c r="A1003" s="139" t="n"/>
      <c r="R1003" s="138" t="n"/>
      <c r="S1003" s="139" t="n"/>
      <c r="U1003" s="138" t="n"/>
    </row>
    <row r="1004">
      <c r="A1004" s="148" t="n"/>
      <c r="B1004" s="149" t="n"/>
      <c r="C1004" s="149" t="n"/>
      <c r="Q1004" s="149" t="n"/>
      <c r="R1004" s="150" t="n"/>
      <c r="S1004" s="148" t="n"/>
      <c r="T1004" s="149" t="n"/>
      <c r="U1004" s="150" t="n"/>
    </row>
  </sheetData>
  <mergeCells count="9">
    <mergeCell ref="B2:C2"/>
    <mergeCell ref="Q2:R2"/>
    <mergeCell ref="T2:U2"/>
    <mergeCell ref="B7:C7"/>
    <mergeCell ref="E7:F7"/>
    <mergeCell ref="E2:F2"/>
    <mergeCell ref="E1:F1"/>
    <mergeCell ref="B14:C14"/>
    <mergeCell ref="B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2026-06-18T02:33:14Z</dcterms:created>
  <dcterms:modified xmlns:dcterms="http://purl.org/dc/terms/" xmlns:xsi="http://www.w3.org/2001/XMLSchema-instance" xsi:type="dcterms:W3CDTF">2026-06-18T03:23:14Z</dcterms:modified>
</cp:coreProperties>
</file>